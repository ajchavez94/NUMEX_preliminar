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onC\Dokt Dipl Prakt\2024 Andrea Chavez\"/>
    </mc:Choice>
  </mc:AlternateContent>
  <xr:revisionPtr revIDLastSave="0" documentId="13_ncr:1_{995B73C7-1EC0-4014-80B4-1A36FAB23A5C}" xr6:coauthVersionLast="47" xr6:coauthVersionMax="47" xr10:uidLastSave="{00000000-0000-0000-0000-000000000000}"/>
  <bookViews>
    <workbookView xWindow="29610" yWindow="1050" windowWidth="26880" windowHeight="15000" tabRatio="617" xr2:uid="{00000000-000D-0000-FFFF-FFFF00000000}"/>
  </bookViews>
  <sheets>
    <sheet name="LeafTraits" sheetId="5" r:id="rId1"/>
  </sheets>
  <definedNames>
    <definedName name="_xlnm._FilterDatabase" localSheetId="0" hidden="1">LeafTraits!$D$1:$W$94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4" i="5" l="1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</calcChain>
</file>

<file path=xl/sharedStrings.xml><?xml version="1.0" encoding="utf-8"?>
<sst xmlns="http://schemas.openxmlformats.org/spreadsheetml/2006/main" count="303" uniqueCount="32">
  <si>
    <t>Alchornea lojaensis</t>
  </si>
  <si>
    <t>Myrcia sp nov</t>
  </si>
  <si>
    <t>Plot</t>
  </si>
  <si>
    <t>treat</t>
  </si>
  <si>
    <t>Family</t>
  </si>
  <si>
    <t>Species</t>
  </si>
  <si>
    <t>new ID</t>
  </si>
  <si>
    <t>treeID</t>
  </si>
  <si>
    <t>C</t>
  </si>
  <si>
    <t>Euphorbiaceae</t>
  </si>
  <si>
    <t>Myrtaceae</t>
  </si>
  <si>
    <t>4966, 9683</t>
  </si>
  <si>
    <t>P</t>
  </si>
  <si>
    <t>N</t>
  </si>
  <si>
    <t>NP</t>
  </si>
  <si>
    <t>N (mg/g)</t>
  </si>
  <si>
    <t>C (mg/g)</t>
  </si>
  <si>
    <t>Al (mg/g)</t>
  </si>
  <si>
    <t>P (mg/g)</t>
  </si>
  <si>
    <t>Ca (mg/g)</t>
  </si>
  <si>
    <t>Fe (mg/g)</t>
  </si>
  <si>
    <t>K (mg/g)</t>
  </si>
  <si>
    <t>Mg (mg/g)</t>
  </si>
  <si>
    <t>Na (mg/g)</t>
  </si>
  <si>
    <t>S (mg/g)</t>
  </si>
  <si>
    <t>Leaf fresh weight (g)</t>
  </si>
  <si>
    <t>Leaf dry weight (g)</t>
  </si>
  <si>
    <t>Sampling date</t>
  </si>
  <si>
    <t>force to punch (kN/m)</t>
  </si>
  <si>
    <t>number of leaves</t>
  </si>
  <si>
    <t>thickness (mm)</t>
  </si>
  <si>
    <t>dry matter content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</si>
</sst>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64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16" fontId="7" fillId="0" borderId="0" xfId="0" applyNumberFormat="1" applyFont="1" applyAlignment="1">
      <alignment horizontal="left" vertical="top"/>
    </xf>
    <xf numFmtId="2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3" borderId="0" xfId="0" applyFont="1" applyFill="1" applyAlignment="1">
      <alignment horizontal="left" vertical="top"/>
    </xf>
    <xf numFmtId="2" fontId="7" fillId="3" borderId="0" xfId="0" applyNumberFormat="1" applyFont="1" applyFill="1" applyAlignment="1">
      <alignment vertical="top"/>
    </xf>
    <xf numFmtId="0" fontId="1" fillId="0" borderId="0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1" applyFont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164" fontId="7" fillId="0" borderId="0" xfId="0" applyNumberFormat="1" applyFont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8" fillId="0" borderId="0" xfId="0" applyFont="1" applyFill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</cellXfs>
  <cellStyles count="2">
    <cellStyle name="Excel Built-in Normal" xfId="1" xr:uid="{00000000-0005-0000-0000-000000000000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4"/>
  <sheetViews>
    <sheetView tabSelected="1" workbookViewId="0">
      <pane ySplit="1" topLeftCell="A2" activePane="bottomLeft" state="frozen"/>
      <selection pane="bottomLeft" activeCell="G87" sqref="G87"/>
    </sheetView>
  </sheetViews>
  <sheetFormatPr baseColWidth="10" defaultRowHeight="12.5" x14ac:dyDescent="0.25"/>
  <cols>
    <col min="1" max="1" width="5.36328125" style="24" customWidth="1"/>
    <col min="2" max="2" width="5.81640625" style="24" customWidth="1"/>
    <col min="3" max="3" width="13.1796875" style="39" customWidth="1"/>
    <col min="4" max="4" width="18.90625" style="24" customWidth="1"/>
    <col min="5" max="5" width="10.7265625" style="24" customWidth="1"/>
    <col min="6" max="6" width="7.7265625" style="24" customWidth="1"/>
    <col min="7" max="7" width="10.26953125" style="13" customWidth="1"/>
    <col min="8" max="8" width="7.1796875" style="13" customWidth="1"/>
    <col min="9" max="10" width="10.453125" style="13" customWidth="1"/>
    <col min="11" max="11" width="7.54296875" style="13" customWidth="1"/>
    <col min="12" max="12" width="8.81640625" style="24" customWidth="1"/>
    <col min="13" max="13" width="9.90625" style="17" customWidth="1"/>
    <col min="14" max="14" width="7.08984375" style="24" customWidth="1"/>
    <col min="15" max="15" width="7.36328125" style="24" customWidth="1"/>
    <col min="16" max="16" width="6.90625" style="24" customWidth="1"/>
    <col min="17" max="19" width="7.90625" style="24" customWidth="1"/>
    <col min="20" max="20" width="7.1796875" style="24" customWidth="1"/>
    <col min="21" max="22" width="7.90625" style="24" customWidth="1"/>
    <col min="23" max="23" width="7.36328125" style="24" customWidth="1"/>
    <col min="24" max="28" width="10.90625" style="25"/>
    <col min="29" max="16384" width="10.90625" style="24"/>
  </cols>
  <sheetData>
    <row r="1" spans="1:23" s="22" customFormat="1" ht="47" customHeight="1" x14ac:dyDescent="0.25">
      <c r="A1" s="1" t="s">
        <v>2</v>
      </c>
      <c r="B1" s="2" t="s">
        <v>3</v>
      </c>
      <c r="C1" s="36" t="s">
        <v>4</v>
      </c>
      <c r="D1" s="1" t="s">
        <v>5</v>
      </c>
      <c r="E1" s="8" t="s">
        <v>6</v>
      </c>
      <c r="F1" s="9" t="s">
        <v>7</v>
      </c>
      <c r="G1" s="21" t="s">
        <v>27</v>
      </c>
      <c r="H1" s="21" t="s">
        <v>29</v>
      </c>
      <c r="I1" s="14" t="s">
        <v>25</v>
      </c>
      <c r="J1" s="14" t="s">
        <v>26</v>
      </c>
      <c r="K1" s="40" t="s">
        <v>31</v>
      </c>
      <c r="L1" s="41" t="s">
        <v>30</v>
      </c>
      <c r="M1" s="40" t="s">
        <v>28</v>
      </c>
      <c r="N1" s="33" t="s">
        <v>16</v>
      </c>
      <c r="O1" s="33" t="s">
        <v>15</v>
      </c>
      <c r="P1" s="33" t="s">
        <v>18</v>
      </c>
      <c r="Q1" s="33" t="s">
        <v>17</v>
      </c>
      <c r="R1" s="33" t="s">
        <v>19</v>
      </c>
      <c r="S1" s="33" t="s">
        <v>20</v>
      </c>
      <c r="T1" s="33" t="s">
        <v>21</v>
      </c>
      <c r="U1" s="33" t="s">
        <v>22</v>
      </c>
      <c r="V1" s="33" t="s">
        <v>23</v>
      </c>
      <c r="W1" s="33" t="s">
        <v>24</v>
      </c>
    </row>
    <row r="2" spans="1:23" ht="15" customHeight="1" x14ac:dyDescent="0.25">
      <c r="A2" s="3">
        <v>1</v>
      </c>
      <c r="B2" s="4" t="s">
        <v>8</v>
      </c>
      <c r="C2" s="27" t="s">
        <v>9</v>
      </c>
      <c r="D2" s="23" t="s">
        <v>0</v>
      </c>
      <c r="E2" s="6"/>
      <c r="F2" s="7">
        <v>69</v>
      </c>
      <c r="G2" s="15">
        <v>45266</v>
      </c>
      <c r="H2" s="13">
        <v>20</v>
      </c>
      <c r="I2" s="16">
        <v>37</v>
      </c>
      <c r="J2" s="16">
        <v>16.22</v>
      </c>
      <c r="K2" s="16">
        <f t="shared" ref="K2:K18" si="0">J2/I2*1000</f>
        <v>438.37837837837833</v>
      </c>
      <c r="L2" s="24">
        <v>0.51633333333333331</v>
      </c>
      <c r="M2" s="32">
        <v>1.9382419486207987</v>
      </c>
      <c r="N2" s="27">
        <v>522.50092000000006</v>
      </c>
      <c r="O2" s="27">
        <v>15.577819999999999</v>
      </c>
      <c r="P2" s="27">
        <v>0.73303058078341343</v>
      </c>
      <c r="Q2" s="27">
        <v>3.1670741786343708E-2</v>
      </c>
      <c r="R2" s="27">
        <v>4.6743264765772201</v>
      </c>
      <c r="S2" s="27">
        <v>6.9369658166750656E-2</v>
      </c>
      <c r="T2" s="27">
        <v>4.47740697287675</v>
      </c>
      <c r="U2" s="27">
        <v>1.653474057529325</v>
      </c>
      <c r="V2" s="27">
        <v>0.10964212578299169</v>
      </c>
      <c r="W2" s="27">
        <v>0.93375439562890372</v>
      </c>
    </row>
    <row r="3" spans="1:23" ht="15" customHeight="1" x14ac:dyDescent="0.25">
      <c r="A3" s="3">
        <v>1</v>
      </c>
      <c r="B3" s="4" t="s">
        <v>8</v>
      </c>
      <c r="C3" s="27" t="s">
        <v>10</v>
      </c>
      <c r="D3" s="23" t="s">
        <v>1</v>
      </c>
      <c r="E3" s="6">
        <v>5812</v>
      </c>
      <c r="F3" s="7">
        <v>72</v>
      </c>
      <c r="G3" s="15">
        <v>45297</v>
      </c>
      <c r="H3" s="13">
        <v>20</v>
      </c>
      <c r="I3" s="16">
        <v>21.71</v>
      </c>
      <c r="J3" s="16">
        <v>11.4</v>
      </c>
      <c r="K3" s="16">
        <f t="shared" si="0"/>
        <v>525.10363887609401</v>
      </c>
      <c r="L3" s="24">
        <v>0.49299999999999994</v>
      </c>
      <c r="M3" s="32">
        <v>1.369263027067273</v>
      </c>
      <c r="N3" s="27">
        <v>502.02517999999998</v>
      </c>
      <c r="O3" s="27">
        <v>11.753610000000002</v>
      </c>
      <c r="P3" s="27">
        <v>0.33014606736107754</v>
      </c>
      <c r="Q3" s="27">
        <v>0.1763737041152352</v>
      </c>
      <c r="R3" s="27">
        <v>0.73340097018847228</v>
      </c>
      <c r="S3" s="27">
        <v>4.6864030886039659E-2</v>
      </c>
      <c r="T3" s="27">
        <v>2.6968320201779235</v>
      </c>
      <c r="U3" s="27">
        <v>0.96770411982522442</v>
      </c>
      <c r="V3" s="27">
        <v>0.13834216083114456</v>
      </c>
      <c r="W3" s="27">
        <v>0.81763505674294579</v>
      </c>
    </row>
    <row r="4" spans="1:23" ht="15" customHeight="1" x14ac:dyDescent="0.25">
      <c r="A4" s="3">
        <v>1</v>
      </c>
      <c r="B4" s="4" t="s">
        <v>8</v>
      </c>
      <c r="C4" s="27" t="s">
        <v>10</v>
      </c>
      <c r="D4" s="23" t="s">
        <v>1</v>
      </c>
      <c r="E4" s="6"/>
      <c r="F4" s="7">
        <v>88</v>
      </c>
      <c r="G4" s="15">
        <v>45266</v>
      </c>
      <c r="H4" s="13">
        <v>20</v>
      </c>
      <c r="I4" s="16">
        <v>29.2</v>
      </c>
      <c r="J4" s="16">
        <v>13.98</v>
      </c>
      <c r="K4" s="16">
        <f t="shared" si="0"/>
        <v>478.76712328767121</v>
      </c>
      <c r="L4" s="24">
        <v>0.48100000000000004</v>
      </c>
      <c r="M4" s="32">
        <v>1.4530846304290046</v>
      </c>
      <c r="N4" s="27">
        <v>490.27076999999997</v>
      </c>
      <c r="O4" s="27">
        <v>9.9259399999999989</v>
      </c>
      <c r="P4" s="27">
        <v>0.30226892264265925</v>
      </c>
      <c r="Q4" s="27">
        <v>7.4910611437785213E-2</v>
      </c>
      <c r="R4" s="27">
        <v>1.0116540002649608</v>
      </c>
      <c r="S4" s="27">
        <v>4.3441236664517449E-2</v>
      </c>
      <c r="T4" s="27">
        <v>2.8492826730827119</v>
      </c>
      <c r="U4" s="27">
        <v>1.4015898079057736</v>
      </c>
      <c r="V4" s="27">
        <v>0.10110770590308947</v>
      </c>
      <c r="W4" s="27">
        <v>0.64353137799262627</v>
      </c>
    </row>
    <row r="5" spans="1:23" ht="15" customHeight="1" x14ac:dyDescent="0.25">
      <c r="A5" s="11">
        <v>1</v>
      </c>
      <c r="B5" s="4" t="s">
        <v>8</v>
      </c>
      <c r="C5" s="20" t="s">
        <v>10</v>
      </c>
      <c r="D5" s="23" t="s">
        <v>1</v>
      </c>
      <c r="E5" s="23" t="s">
        <v>11</v>
      </c>
      <c r="F5" s="26">
        <v>90</v>
      </c>
      <c r="G5" s="15">
        <v>45266</v>
      </c>
      <c r="H5" s="13">
        <v>20</v>
      </c>
      <c r="I5" s="16">
        <v>20.399999999999999</v>
      </c>
      <c r="J5" s="16">
        <v>10.3</v>
      </c>
      <c r="K5" s="16">
        <f t="shared" si="0"/>
        <v>504.90196078431381</v>
      </c>
      <c r="L5" s="24">
        <v>0.47699999999999992</v>
      </c>
      <c r="M5" s="32">
        <v>1.5215212559585192</v>
      </c>
      <c r="N5" s="27">
        <v>507.07012000000003</v>
      </c>
      <c r="O5" s="27">
        <v>10.738030000000002</v>
      </c>
      <c r="P5" s="27">
        <v>0.32498465463501597</v>
      </c>
      <c r="Q5" s="27">
        <v>0.1589347534440449</v>
      </c>
      <c r="R5" s="27">
        <v>0.96079696104273105</v>
      </c>
      <c r="S5" s="27">
        <v>5.7088709458421379E-2</v>
      </c>
      <c r="T5" s="27">
        <v>2.0787879117906547</v>
      </c>
      <c r="U5" s="27">
        <v>1.1868824570291256</v>
      </c>
      <c r="V5" s="27">
        <v>0.17664019305799158</v>
      </c>
      <c r="W5" s="27">
        <v>0.67216469219590569</v>
      </c>
    </row>
    <row r="6" spans="1:23" ht="15" customHeight="1" x14ac:dyDescent="0.25">
      <c r="A6" s="3">
        <v>1</v>
      </c>
      <c r="B6" s="4" t="s">
        <v>8</v>
      </c>
      <c r="C6" s="27" t="s">
        <v>9</v>
      </c>
      <c r="D6" s="23" t="s">
        <v>0</v>
      </c>
      <c r="E6" s="6"/>
      <c r="F6" s="7">
        <v>92</v>
      </c>
      <c r="G6" s="15">
        <v>45266</v>
      </c>
      <c r="H6" s="13">
        <v>20</v>
      </c>
      <c r="I6" s="16">
        <v>23.66</v>
      </c>
      <c r="J6" s="16">
        <v>10.029999999999999</v>
      </c>
      <c r="K6" s="16">
        <f t="shared" si="0"/>
        <v>423.92223161453927</v>
      </c>
      <c r="L6" s="24">
        <v>0.59766666666666668</v>
      </c>
      <c r="M6" s="32">
        <v>2.0836034633113965</v>
      </c>
      <c r="N6" s="27">
        <v>523.43105000000003</v>
      </c>
      <c r="O6" s="27">
        <v>12.98718</v>
      </c>
      <c r="P6" s="27">
        <v>0.73213148632485214</v>
      </c>
      <c r="Q6" s="27">
        <v>0.18936070374527222</v>
      </c>
      <c r="R6" s="27">
        <v>2.8711671335663316</v>
      </c>
      <c r="S6" s="27">
        <v>2.9586864854145724E-2</v>
      </c>
      <c r="T6" s="27">
        <v>5.0638114558916234</v>
      </c>
      <c r="U6" s="27">
        <v>1.358562612470712</v>
      </c>
      <c r="V6" s="27">
        <v>7.997349112784484E-3</v>
      </c>
      <c r="W6" s="27">
        <v>0.54945171314582775</v>
      </c>
    </row>
    <row r="7" spans="1:23" ht="15" customHeight="1" x14ac:dyDescent="0.25">
      <c r="A7" s="11">
        <v>1</v>
      </c>
      <c r="B7" s="4" t="s">
        <v>8</v>
      </c>
      <c r="C7" s="20" t="s">
        <v>10</v>
      </c>
      <c r="D7" s="23" t="s">
        <v>1</v>
      </c>
      <c r="E7" s="23"/>
      <c r="F7" s="26">
        <v>96</v>
      </c>
      <c r="G7" s="15">
        <v>45266</v>
      </c>
      <c r="H7" s="13">
        <v>20</v>
      </c>
      <c r="I7" s="16">
        <v>22.07</v>
      </c>
      <c r="J7" s="16">
        <v>9.0299999999999994</v>
      </c>
      <c r="K7" s="16">
        <f t="shared" si="0"/>
        <v>409.15269596737647</v>
      </c>
      <c r="L7" s="24">
        <v>0.50579999999999992</v>
      </c>
      <c r="M7" s="32">
        <v>1.781474329675282</v>
      </c>
      <c r="N7" s="27">
        <v>495.60218999999995</v>
      </c>
      <c r="O7" s="27">
        <v>12.741789999999998</v>
      </c>
      <c r="P7" s="27">
        <v>0.36022357095738222</v>
      </c>
      <c r="Q7" s="27">
        <v>0.15047665688382561</v>
      </c>
      <c r="R7" s="27">
        <v>0.89661912949443767</v>
      </c>
      <c r="S7" s="27">
        <v>3.9816459540856698E-2</v>
      </c>
      <c r="T7" s="27">
        <v>4.1667057003270243</v>
      </c>
      <c r="U7" s="27">
        <v>1.4281299700013961</v>
      </c>
      <c r="V7" s="27">
        <v>0</v>
      </c>
      <c r="W7" s="27">
        <v>0.5953654546153796</v>
      </c>
    </row>
    <row r="8" spans="1:23" ht="15" customHeight="1" x14ac:dyDescent="0.25">
      <c r="A8" s="3">
        <v>1</v>
      </c>
      <c r="B8" s="4" t="s">
        <v>8</v>
      </c>
      <c r="C8" s="27" t="s">
        <v>9</v>
      </c>
      <c r="D8" s="23" t="s">
        <v>0</v>
      </c>
      <c r="E8" s="6"/>
      <c r="F8" s="7">
        <v>101</v>
      </c>
      <c r="G8" s="15">
        <v>45268</v>
      </c>
      <c r="H8" s="13">
        <v>20</v>
      </c>
      <c r="I8" s="16">
        <v>67.78</v>
      </c>
      <c r="J8" s="16">
        <v>27.64</v>
      </c>
      <c r="K8" s="16">
        <f t="shared" si="0"/>
        <v>407.78990852758926</v>
      </c>
      <c r="L8" s="24">
        <v>0.49899999999999994</v>
      </c>
      <c r="M8" s="32">
        <v>1.6655564794566851</v>
      </c>
      <c r="N8" s="27">
        <v>512.37827000000004</v>
      </c>
      <c r="O8" s="27">
        <v>14.319489999999998</v>
      </c>
      <c r="P8" s="27">
        <v>0.78899888602878931</v>
      </c>
      <c r="Q8" s="27">
        <v>0.33689084644176692</v>
      </c>
      <c r="R8" s="27">
        <v>4.5702748458038389</v>
      </c>
      <c r="S8" s="27">
        <v>4.3539298186486122E-2</v>
      </c>
      <c r="T8" s="27">
        <v>5.0625602207542943</v>
      </c>
      <c r="U8" s="27">
        <v>2.6332617870270796</v>
      </c>
      <c r="V8" s="27">
        <v>1.6466306509168464E-2</v>
      </c>
      <c r="W8" s="27">
        <v>0.52146683887209699</v>
      </c>
    </row>
    <row r="9" spans="1:23" ht="15" customHeight="1" x14ac:dyDescent="0.25">
      <c r="A9" s="12">
        <v>1</v>
      </c>
      <c r="B9" s="4" t="s">
        <v>8</v>
      </c>
      <c r="C9" s="27" t="s">
        <v>9</v>
      </c>
      <c r="D9" s="23" t="s">
        <v>0</v>
      </c>
      <c r="E9" s="23"/>
      <c r="F9" s="26">
        <v>9091</v>
      </c>
      <c r="G9" s="15">
        <v>45266</v>
      </c>
      <c r="H9" s="13">
        <v>20</v>
      </c>
      <c r="I9" s="16">
        <v>34.25</v>
      </c>
      <c r="J9" s="16">
        <v>14.43</v>
      </c>
      <c r="K9" s="16">
        <f t="shared" si="0"/>
        <v>421.31386861313871</v>
      </c>
      <c r="L9" s="24">
        <v>0.46900000000000003</v>
      </c>
      <c r="M9" s="32">
        <v>1.6353170402692248</v>
      </c>
      <c r="N9" s="27">
        <v>526.98025000000007</v>
      </c>
      <c r="O9" s="27">
        <v>14.715849999999998</v>
      </c>
      <c r="P9" s="27">
        <v>0.88681909457885277</v>
      </c>
      <c r="Q9" s="27">
        <v>0.14862614490637335</v>
      </c>
      <c r="R9" s="27">
        <v>2.8470931686860017</v>
      </c>
      <c r="S9" s="27">
        <v>2.8833358170850854E-2</v>
      </c>
      <c r="T9" s="27">
        <v>4.6832877479995751</v>
      </c>
      <c r="U9" s="27">
        <v>1.9497229741626643</v>
      </c>
      <c r="V9" s="27">
        <v>0</v>
      </c>
      <c r="W9" s="27">
        <v>0.30996191628373221</v>
      </c>
    </row>
    <row r="10" spans="1:23" ht="15" customHeight="1" x14ac:dyDescent="0.25">
      <c r="A10" s="12">
        <v>1</v>
      </c>
      <c r="B10" s="4" t="s">
        <v>8</v>
      </c>
      <c r="C10" s="35" t="s">
        <v>10</v>
      </c>
      <c r="D10" s="23" t="s">
        <v>1</v>
      </c>
      <c r="E10" s="27"/>
      <c r="F10" s="20">
        <v>9096</v>
      </c>
      <c r="G10" s="15">
        <v>45268</v>
      </c>
      <c r="H10" s="13">
        <v>20</v>
      </c>
      <c r="I10" s="16">
        <v>18.98</v>
      </c>
      <c r="J10" s="16">
        <v>9.2100000000000009</v>
      </c>
      <c r="K10" s="16">
        <f t="shared" si="0"/>
        <v>485.24762908324556</v>
      </c>
      <c r="L10" s="24">
        <v>0.5006666666666667</v>
      </c>
      <c r="M10" s="32">
        <v>1.5586574093466283</v>
      </c>
      <c r="N10" s="27">
        <v>494.83364</v>
      </c>
      <c r="O10" s="27">
        <v>12.663120000000001</v>
      </c>
      <c r="P10" s="27">
        <v>0.36250606599504193</v>
      </c>
      <c r="Q10" s="27">
        <v>9.4663151710043816E-2</v>
      </c>
      <c r="R10" s="27">
        <v>0.89550481514043934</v>
      </c>
      <c r="S10" s="27">
        <v>6.1374976551357034E-2</v>
      </c>
      <c r="T10" s="27">
        <v>2.7732118365320351</v>
      </c>
      <c r="U10" s="27">
        <v>1.4376254791524377</v>
      </c>
      <c r="V10" s="27">
        <v>0</v>
      </c>
      <c r="W10" s="27">
        <v>0.50296884701541678</v>
      </c>
    </row>
    <row r="11" spans="1:23" ht="15" customHeight="1" x14ac:dyDescent="0.25">
      <c r="A11" s="3">
        <v>2</v>
      </c>
      <c r="B11" s="3" t="s">
        <v>12</v>
      </c>
      <c r="C11" s="35" t="s">
        <v>10</v>
      </c>
      <c r="D11" s="23" t="s">
        <v>1</v>
      </c>
      <c r="E11" s="6">
        <v>8386</v>
      </c>
      <c r="F11" s="7">
        <v>229</v>
      </c>
      <c r="G11" s="15">
        <v>45274</v>
      </c>
      <c r="H11" s="13">
        <v>20</v>
      </c>
      <c r="I11" s="16">
        <v>16.36</v>
      </c>
      <c r="J11" s="16">
        <v>8.15</v>
      </c>
      <c r="K11" s="16">
        <f t="shared" si="0"/>
        <v>498.16625916870424</v>
      </c>
      <c r="L11" s="24">
        <v>0.42983333333333335</v>
      </c>
      <c r="M11" s="32">
        <v>1.5735118707018716</v>
      </c>
      <c r="N11" s="27">
        <v>495.25390999999996</v>
      </c>
      <c r="O11" s="27">
        <v>10.61383</v>
      </c>
      <c r="P11" s="27">
        <v>1.6639486882007624</v>
      </c>
      <c r="Q11" s="27">
        <v>4.8213523737098092E-2</v>
      </c>
      <c r="R11" s="27">
        <v>1.0199520795766499</v>
      </c>
      <c r="S11" s="27">
        <v>0.18590115346801978</v>
      </c>
      <c r="T11" s="27">
        <v>3.8983235853218274</v>
      </c>
      <c r="U11" s="27">
        <v>1.2965337145611722</v>
      </c>
      <c r="V11" s="27">
        <v>0</v>
      </c>
      <c r="W11" s="27">
        <v>0.11871702646632931</v>
      </c>
    </row>
    <row r="12" spans="1:23" ht="15" customHeight="1" x14ac:dyDescent="0.25">
      <c r="A12" s="11">
        <v>2</v>
      </c>
      <c r="B12" s="3" t="s">
        <v>12</v>
      </c>
      <c r="C12" s="20" t="s">
        <v>9</v>
      </c>
      <c r="D12" s="23" t="s">
        <v>0</v>
      </c>
      <c r="E12" s="23">
        <v>7922</v>
      </c>
      <c r="F12" s="26">
        <v>244</v>
      </c>
      <c r="G12" s="15">
        <v>45269</v>
      </c>
      <c r="H12" s="13">
        <v>20</v>
      </c>
      <c r="I12" s="16">
        <v>54.78</v>
      </c>
      <c r="J12" s="16">
        <v>22.61</v>
      </c>
      <c r="K12" s="16">
        <f t="shared" si="0"/>
        <v>412.7418765972983</v>
      </c>
      <c r="L12" s="24">
        <v>0.63350000000000006</v>
      </c>
      <c r="M12" s="32">
        <v>1.7414203356638212</v>
      </c>
      <c r="N12" s="27">
        <v>510.98812000000004</v>
      </c>
      <c r="O12" s="27">
        <v>11.428210000000002</v>
      </c>
      <c r="P12" s="27">
        <v>1.1901309632997137</v>
      </c>
      <c r="Q12" s="27">
        <v>2.0059303297881782E-2</v>
      </c>
      <c r="R12" s="27">
        <v>5.3739881758489565</v>
      </c>
      <c r="S12" s="27">
        <v>3.1370710636721442E-2</v>
      </c>
      <c r="T12" s="27">
        <v>5.5473002762596</v>
      </c>
      <c r="U12" s="27">
        <v>2.0319620672428358</v>
      </c>
      <c r="V12" s="27">
        <v>0</v>
      </c>
      <c r="W12" s="27">
        <v>0</v>
      </c>
    </row>
    <row r="13" spans="1:23" ht="15" customHeight="1" x14ac:dyDescent="0.25">
      <c r="A13" s="11">
        <v>2</v>
      </c>
      <c r="B13" s="3" t="s">
        <v>12</v>
      </c>
      <c r="C13" s="20" t="s">
        <v>10</v>
      </c>
      <c r="D13" s="23" t="s">
        <v>1</v>
      </c>
      <c r="E13" s="23">
        <v>9084</v>
      </c>
      <c r="F13" s="26">
        <v>251</v>
      </c>
      <c r="G13" s="15">
        <v>45268</v>
      </c>
      <c r="H13" s="13">
        <v>20</v>
      </c>
      <c r="I13" s="16">
        <v>18.91</v>
      </c>
      <c r="J13" s="16">
        <v>9.6999999999999993</v>
      </c>
      <c r="K13" s="16">
        <f t="shared" si="0"/>
        <v>512.95610787942883</v>
      </c>
      <c r="L13" s="24">
        <v>0.46500000000000002</v>
      </c>
      <c r="M13" s="32">
        <v>1.6154226723827378</v>
      </c>
      <c r="N13" s="27">
        <v>494.04324000000003</v>
      </c>
      <c r="O13" s="27">
        <v>10.16873</v>
      </c>
      <c r="P13" s="27">
        <v>1.1160516200863519</v>
      </c>
      <c r="Q13" s="27">
        <v>0</v>
      </c>
      <c r="R13" s="27">
        <v>0.7522171731924191</v>
      </c>
      <c r="S13" s="27">
        <v>1.9512164590487272E-2</v>
      </c>
      <c r="T13" s="27">
        <v>2.8413691722536494</v>
      </c>
      <c r="U13" s="27">
        <v>1.2709356560402161</v>
      </c>
      <c r="V13" s="27">
        <v>0</v>
      </c>
      <c r="W13" s="27">
        <v>0.61768589198639712</v>
      </c>
    </row>
    <row r="14" spans="1:23" ht="15" customHeight="1" x14ac:dyDescent="0.25">
      <c r="A14" s="11">
        <v>2</v>
      </c>
      <c r="B14" s="3" t="s">
        <v>12</v>
      </c>
      <c r="C14" s="20" t="s">
        <v>9</v>
      </c>
      <c r="D14" s="23" t="s">
        <v>0</v>
      </c>
      <c r="E14" s="23"/>
      <c r="F14" s="26">
        <v>254</v>
      </c>
      <c r="G14" s="15">
        <v>45268</v>
      </c>
      <c r="H14" s="13">
        <v>20</v>
      </c>
      <c r="I14" s="16">
        <v>47.05</v>
      </c>
      <c r="J14" s="16">
        <v>21.33</v>
      </c>
      <c r="K14" s="16">
        <f t="shared" si="0"/>
        <v>453.34750265674813</v>
      </c>
      <c r="L14" s="24">
        <v>0.49199999999999999</v>
      </c>
      <c r="M14" s="32">
        <v>1.6496409851474956</v>
      </c>
      <c r="N14" s="27">
        <v>517.37498999999991</v>
      </c>
      <c r="O14" s="27">
        <v>11.83667</v>
      </c>
      <c r="P14" s="27">
        <v>1.0322736477795027</v>
      </c>
      <c r="Q14" s="27">
        <v>0</v>
      </c>
      <c r="R14" s="27">
        <v>4.4944829003886806</v>
      </c>
      <c r="S14" s="27">
        <v>5.7892412545391542E-3</v>
      </c>
      <c r="T14" s="27">
        <v>3.2680695387338976</v>
      </c>
      <c r="U14" s="27">
        <v>1.9274999237200676</v>
      </c>
      <c r="V14" s="27">
        <v>0.23387791886414053</v>
      </c>
      <c r="W14" s="27">
        <v>0.67448670723073889</v>
      </c>
    </row>
    <row r="15" spans="1:23" ht="15" customHeight="1" x14ac:dyDescent="0.25">
      <c r="A15" s="3">
        <v>2</v>
      </c>
      <c r="B15" s="3" t="s">
        <v>12</v>
      </c>
      <c r="C15" s="35" t="s">
        <v>9</v>
      </c>
      <c r="D15" s="23" t="s">
        <v>0</v>
      </c>
      <c r="E15" s="23"/>
      <c r="F15" s="7">
        <v>257</v>
      </c>
      <c r="G15" s="15">
        <v>45269</v>
      </c>
      <c r="H15" s="13">
        <v>20</v>
      </c>
      <c r="I15" s="16">
        <v>49.75</v>
      </c>
      <c r="J15" s="16">
        <v>20.18</v>
      </c>
      <c r="K15" s="16">
        <f t="shared" si="0"/>
        <v>405.6281407035176</v>
      </c>
      <c r="L15" s="24">
        <v>0.44216666666666665</v>
      </c>
      <c r="M15" s="32">
        <v>1.4830588113779781</v>
      </c>
      <c r="N15" s="27">
        <v>515.84793000000002</v>
      </c>
      <c r="O15" s="27">
        <v>12.212179999999998</v>
      </c>
      <c r="P15" s="27">
        <v>1.2945568975946806</v>
      </c>
      <c r="Q15" s="27">
        <v>0.14270561841023535</v>
      </c>
      <c r="R15" s="27">
        <v>6.0071503049038597</v>
      </c>
      <c r="S15" s="27">
        <v>7.3227407119202947E-3</v>
      </c>
      <c r="T15" s="27">
        <v>3.9968266209594803</v>
      </c>
      <c r="U15" s="27">
        <v>2.3473002493592197</v>
      </c>
      <c r="V15" s="27">
        <v>3.4173650973809977E-2</v>
      </c>
      <c r="W15" s="27">
        <v>0.62042971834260663</v>
      </c>
    </row>
    <row r="16" spans="1:23" ht="15" customHeight="1" x14ac:dyDescent="0.25">
      <c r="A16" s="3">
        <v>2</v>
      </c>
      <c r="B16" s="3" t="s">
        <v>12</v>
      </c>
      <c r="C16" s="35" t="s">
        <v>10</v>
      </c>
      <c r="D16" s="23" t="s">
        <v>1</v>
      </c>
      <c r="E16" s="6">
        <v>8384</v>
      </c>
      <c r="F16" s="7">
        <v>264</v>
      </c>
      <c r="G16" s="15">
        <v>45274</v>
      </c>
      <c r="H16" s="13">
        <v>20</v>
      </c>
      <c r="I16" s="16">
        <v>18.64</v>
      </c>
      <c r="J16" s="16">
        <v>8.99</v>
      </c>
      <c r="K16" s="16">
        <f t="shared" si="0"/>
        <v>482.2961373390558</v>
      </c>
      <c r="L16" s="24">
        <v>0.45816666666666661</v>
      </c>
      <c r="M16" s="32">
        <v>1.5565353434387366</v>
      </c>
      <c r="N16" s="27">
        <v>494.53361999999998</v>
      </c>
      <c r="O16" s="27">
        <v>10.093719999999999</v>
      </c>
      <c r="P16" s="27">
        <v>2.5136852440698343</v>
      </c>
      <c r="Q16" s="27">
        <v>1.1931577182508132E-2</v>
      </c>
      <c r="R16" s="27">
        <v>1.4009120316581836</v>
      </c>
      <c r="S16" s="27">
        <v>3.9400168357050673E-2</v>
      </c>
      <c r="T16" s="27">
        <v>3.0017549988216121</v>
      </c>
      <c r="U16" s="27">
        <v>1.641308584620546</v>
      </c>
      <c r="V16" s="27">
        <v>0.13853481586475599</v>
      </c>
      <c r="W16" s="27">
        <v>0.65062603499823901</v>
      </c>
    </row>
    <row r="17" spans="1:23" ht="15" customHeight="1" x14ac:dyDescent="0.25">
      <c r="A17" s="3">
        <v>2</v>
      </c>
      <c r="B17" s="3" t="s">
        <v>12</v>
      </c>
      <c r="C17" s="35" t="s">
        <v>9</v>
      </c>
      <c r="D17" s="23" t="s">
        <v>0</v>
      </c>
      <c r="E17" s="6"/>
      <c r="F17" s="7">
        <v>267</v>
      </c>
      <c r="G17" s="15">
        <v>45269</v>
      </c>
      <c r="H17" s="13">
        <v>20</v>
      </c>
      <c r="I17" s="16">
        <v>38.47</v>
      </c>
      <c r="J17" s="16">
        <v>14.16</v>
      </c>
      <c r="K17" s="16">
        <f t="shared" si="0"/>
        <v>368.07902261502471</v>
      </c>
      <c r="L17" s="24">
        <v>0.42500000000000004</v>
      </c>
      <c r="M17" s="32">
        <v>1.5859790079107368</v>
      </c>
      <c r="N17" s="27">
        <v>514.52679000000001</v>
      </c>
      <c r="O17" s="27">
        <v>14.018230000000001</v>
      </c>
      <c r="P17" s="27">
        <v>1.1107265790432972</v>
      </c>
      <c r="Q17" s="27">
        <v>1.9877024075104163E-2</v>
      </c>
      <c r="R17" s="27">
        <v>3.0365405752574191</v>
      </c>
      <c r="S17" s="27">
        <v>1.1151172391221464E-2</v>
      </c>
      <c r="T17" s="27">
        <v>6.4177999955596476</v>
      </c>
      <c r="U17" s="27">
        <v>2.0101623570835074</v>
      </c>
      <c r="V17" s="27">
        <v>7.2767939589716531E-3</v>
      </c>
      <c r="W17" s="27">
        <v>0.66634530256369617</v>
      </c>
    </row>
    <row r="18" spans="1:23" ht="15" customHeight="1" x14ac:dyDescent="0.25">
      <c r="A18" s="4">
        <v>3</v>
      </c>
      <c r="B18" s="11" t="s">
        <v>13</v>
      </c>
      <c r="C18" s="37" t="s">
        <v>9</v>
      </c>
      <c r="D18" s="23" t="s">
        <v>0</v>
      </c>
      <c r="E18" s="6">
        <v>8396</v>
      </c>
      <c r="F18" s="7">
        <v>120</v>
      </c>
      <c r="G18" s="15">
        <v>45272</v>
      </c>
      <c r="H18" s="13">
        <v>20</v>
      </c>
      <c r="I18" s="16">
        <v>39.68</v>
      </c>
      <c r="J18" s="16">
        <v>17.48</v>
      </c>
      <c r="K18" s="16">
        <f t="shared" si="0"/>
        <v>440.52419354838713</v>
      </c>
      <c r="L18" s="24">
        <v>0.53599999999999992</v>
      </c>
      <c r="M18" s="32">
        <v>1.6122395735208999</v>
      </c>
      <c r="N18" s="27">
        <v>505.43601999999998</v>
      </c>
      <c r="O18" s="27">
        <v>17.683139999999998</v>
      </c>
      <c r="P18" s="27">
        <v>0.99599498213219884</v>
      </c>
      <c r="Q18" s="27">
        <v>3.1515931325567653E-2</v>
      </c>
      <c r="R18" s="27">
        <v>4.0436192109305251</v>
      </c>
      <c r="S18" s="27">
        <v>1.6129719076343755E-2</v>
      </c>
      <c r="T18" s="27">
        <v>5.0176051738926946</v>
      </c>
      <c r="U18" s="27">
        <v>2.472863701896574</v>
      </c>
      <c r="V18" s="27">
        <v>0</v>
      </c>
      <c r="W18" s="27">
        <v>0.65855079646455117</v>
      </c>
    </row>
    <row r="19" spans="1:23" ht="15" customHeight="1" x14ac:dyDescent="0.25">
      <c r="A19" s="4">
        <v>3</v>
      </c>
      <c r="B19" s="11" t="s">
        <v>13</v>
      </c>
      <c r="C19" s="37" t="s">
        <v>10</v>
      </c>
      <c r="D19" s="23" t="s">
        <v>1</v>
      </c>
      <c r="E19" s="6">
        <v>9090</v>
      </c>
      <c r="F19" s="7">
        <v>121</v>
      </c>
      <c r="G19" s="15">
        <v>45272</v>
      </c>
      <c r="H19" s="13">
        <v>20</v>
      </c>
      <c r="I19" s="16">
        <v>35.29</v>
      </c>
      <c r="J19" s="16">
        <v>17.72</v>
      </c>
      <c r="K19" s="16">
        <f t="shared" ref="K19:K36" si="1">J19/I19*1000</f>
        <v>502.12524794559363</v>
      </c>
      <c r="L19" s="24">
        <v>0.46633333333333332</v>
      </c>
      <c r="M19" s="32">
        <v>1.6212583536294405</v>
      </c>
      <c r="N19" s="27">
        <v>481.15814</v>
      </c>
      <c r="O19" s="27">
        <v>10.626749999999999</v>
      </c>
      <c r="P19" s="27">
        <v>0.42395812261181809</v>
      </c>
      <c r="Q19" s="27">
        <v>7.9852399398745895E-3</v>
      </c>
      <c r="R19" s="27">
        <v>0.59408276145039784</v>
      </c>
      <c r="S19" s="27">
        <v>5.3337140772252416E-3</v>
      </c>
      <c r="T19" s="27">
        <v>3.93642184694286</v>
      </c>
      <c r="U19" s="27">
        <v>1.007553180000579</v>
      </c>
      <c r="V19" s="27">
        <v>0</v>
      </c>
      <c r="W19" s="27">
        <v>0.4689857381470891</v>
      </c>
    </row>
    <row r="20" spans="1:23" ht="15" customHeight="1" x14ac:dyDescent="0.25">
      <c r="A20" s="11">
        <v>3</v>
      </c>
      <c r="B20" s="11" t="s">
        <v>13</v>
      </c>
      <c r="C20" s="20" t="s">
        <v>9</v>
      </c>
      <c r="D20" s="23" t="s">
        <v>0</v>
      </c>
      <c r="E20" s="23"/>
      <c r="F20" s="26">
        <v>141</v>
      </c>
      <c r="G20" s="15">
        <v>45272</v>
      </c>
      <c r="H20" s="13">
        <v>20</v>
      </c>
      <c r="I20" s="16">
        <v>24.76</v>
      </c>
      <c r="J20" s="16">
        <v>10.3</v>
      </c>
      <c r="K20" s="16">
        <f t="shared" si="1"/>
        <v>415.99353796445882</v>
      </c>
      <c r="L20" s="24">
        <v>0.54666666666666675</v>
      </c>
      <c r="M20" s="32">
        <v>1.9146339653955011</v>
      </c>
      <c r="N20" s="27">
        <v>504.90337</v>
      </c>
      <c r="O20" s="27">
        <v>15.02233</v>
      </c>
      <c r="P20" s="27">
        <v>0.70388853315343003</v>
      </c>
      <c r="Q20" s="27">
        <v>0</v>
      </c>
      <c r="R20" s="27">
        <v>2.6760761385473102</v>
      </c>
      <c r="S20" s="27">
        <v>2.4141962732600539E-2</v>
      </c>
      <c r="T20" s="27">
        <v>6.8236271153254782</v>
      </c>
      <c r="U20" s="27">
        <v>2.3054399050600338</v>
      </c>
      <c r="V20" s="27">
        <v>0.14373689087785047</v>
      </c>
      <c r="W20" s="27">
        <v>0.67888952384523749</v>
      </c>
    </row>
    <row r="21" spans="1:23" ht="15" customHeight="1" x14ac:dyDescent="0.25">
      <c r="A21" s="3">
        <v>3</v>
      </c>
      <c r="B21" s="11" t="s">
        <v>13</v>
      </c>
      <c r="C21" s="35" t="s">
        <v>10</v>
      </c>
      <c r="D21" s="23" t="s">
        <v>1</v>
      </c>
      <c r="E21" s="6"/>
      <c r="F21" s="7">
        <v>143</v>
      </c>
      <c r="G21" s="15">
        <v>45272</v>
      </c>
      <c r="H21" s="13">
        <v>20</v>
      </c>
      <c r="I21" s="16">
        <v>16.93</v>
      </c>
      <c r="J21" s="16">
        <v>8.9499999999999993</v>
      </c>
      <c r="K21" s="16">
        <f t="shared" si="1"/>
        <v>528.64737152982866</v>
      </c>
      <c r="L21" s="24">
        <v>0.42983333333333329</v>
      </c>
      <c r="M21" s="32">
        <v>1.4037465980705166</v>
      </c>
      <c r="N21" s="27">
        <v>490.30093999999997</v>
      </c>
      <c r="O21" s="27">
        <v>12.742279999999999</v>
      </c>
      <c r="P21" s="27">
        <v>0.42162737698552805</v>
      </c>
      <c r="Q21" s="27">
        <v>0</v>
      </c>
      <c r="R21" s="27">
        <v>0.63991992343474779</v>
      </c>
      <c r="S21" s="27">
        <v>6.2630085082062928E-2</v>
      </c>
      <c r="T21" s="27">
        <v>3.4173918418618223</v>
      </c>
      <c r="U21" s="27">
        <v>0.79512986304630451</v>
      </c>
      <c r="V21" s="27">
        <v>0.11550888575564289</v>
      </c>
      <c r="W21" s="27">
        <v>1.3602653623084247</v>
      </c>
    </row>
    <row r="22" spans="1:23" ht="15" customHeight="1" x14ac:dyDescent="0.25">
      <c r="A22" s="3">
        <v>3</v>
      </c>
      <c r="B22" s="11" t="s">
        <v>13</v>
      </c>
      <c r="C22" s="35" t="s">
        <v>9</v>
      </c>
      <c r="D22" s="23" t="s">
        <v>0</v>
      </c>
      <c r="E22" s="6"/>
      <c r="F22" s="7">
        <v>155</v>
      </c>
      <c r="G22" s="15">
        <v>45269</v>
      </c>
      <c r="H22" s="13">
        <v>20</v>
      </c>
      <c r="I22" s="16">
        <v>29.67</v>
      </c>
      <c r="J22" s="16">
        <v>10.55</v>
      </c>
      <c r="K22" s="16">
        <f t="shared" si="1"/>
        <v>355.57802494101787</v>
      </c>
      <c r="L22" s="24">
        <v>0.54099999999999993</v>
      </c>
      <c r="M22" s="32">
        <v>1.5888968485340884</v>
      </c>
      <c r="N22" s="27">
        <v>522.02598999999998</v>
      </c>
      <c r="O22" s="27">
        <v>18.423189999999998</v>
      </c>
      <c r="P22" s="27">
        <v>1.0760979806458262</v>
      </c>
      <c r="Q22" s="27">
        <v>0</v>
      </c>
      <c r="R22" s="27">
        <v>1.3612354199758288</v>
      </c>
      <c r="S22" s="27">
        <v>0.16606772833948885</v>
      </c>
      <c r="T22" s="27">
        <v>6.7437928379292202</v>
      </c>
      <c r="U22" s="27">
        <v>1.8519596025844014</v>
      </c>
      <c r="V22" s="27">
        <v>0.11850231446540838</v>
      </c>
      <c r="W22" s="27">
        <v>0.8671868366505725</v>
      </c>
    </row>
    <row r="23" spans="1:23" ht="15" customHeight="1" x14ac:dyDescent="0.25">
      <c r="A23" s="3">
        <v>3</v>
      </c>
      <c r="B23" s="11" t="s">
        <v>13</v>
      </c>
      <c r="C23" s="35" t="s">
        <v>10</v>
      </c>
      <c r="D23" s="23" t="s">
        <v>1</v>
      </c>
      <c r="E23" s="6"/>
      <c r="F23" s="7">
        <v>172</v>
      </c>
      <c r="G23" s="15">
        <v>45272</v>
      </c>
      <c r="H23" s="13">
        <v>20</v>
      </c>
      <c r="I23" s="16">
        <v>20.99</v>
      </c>
      <c r="J23" s="16">
        <v>10.42</v>
      </c>
      <c r="K23" s="16">
        <f t="shared" si="1"/>
        <v>496.42686993806581</v>
      </c>
      <c r="L23" s="24">
        <v>0.39516666666666667</v>
      </c>
      <c r="M23" s="32">
        <v>1.5345189096443577</v>
      </c>
      <c r="N23" s="27">
        <v>482.18879999999996</v>
      </c>
      <c r="O23" s="27">
        <v>11.541169999999999</v>
      </c>
      <c r="P23" s="27">
        <v>0.37198526917356689</v>
      </c>
      <c r="Q23" s="27">
        <v>5.3021819320820646E-2</v>
      </c>
      <c r="R23" s="27">
        <v>0.62935221918961082</v>
      </c>
      <c r="S23" s="27">
        <v>5.532019817944666E-2</v>
      </c>
      <c r="T23" s="27">
        <v>2.5540153697698131</v>
      </c>
      <c r="U23" s="27">
        <v>1.1558025584987941</v>
      </c>
      <c r="V23" s="27">
        <v>0.26946599661877302</v>
      </c>
      <c r="W23" s="27">
        <v>0.85954961186370971</v>
      </c>
    </row>
    <row r="24" spans="1:23" ht="15" customHeight="1" x14ac:dyDescent="0.25">
      <c r="A24" s="11">
        <v>4</v>
      </c>
      <c r="B24" s="11" t="s">
        <v>14</v>
      </c>
      <c r="C24" s="20" t="s">
        <v>9</v>
      </c>
      <c r="D24" s="23" t="s">
        <v>0</v>
      </c>
      <c r="E24" s="23"/>
      <c r="F24" s="26">
        <v>188</v>
      </c>
      <c r="G24" s="15">
        <v>45273</v>
      </c>
      <c r="H24" s="13">
        <v>20</v>
      </c>
      <c r="I24" s="16">
        <v>30.23</v>
      </c>
      <c r="J24" s="16">
        <v>12.63</v>
      </c>
      <c r="K24" s="16">
        <f t="shared" si="1"/>
        <v>417.79689050611978</v>
      </c>
      <c r="L24" s="24">
        <v>0.504</v>
      </c>
      <c r="M24" s="32">
        <v>1.6013639857429536</v>
      </c>
      <c r="N24" s="27">
        <v>504.60468000000003</v>
      </c>
      <c r="O24" s="27">
        <v>12.199300000000001</v>
      </c>
      <c r="P24" s="27">
        <v>0.87049054278940108</v>
      </c>
      <c r="Q24" s="27">
        <v>1.5314317426430144E-2</v>
      </c>
      <c r="R24" s="27">
        <v>6.2709135156652405</v>
      </c>
      <c r="S24" s="27">
        <v>3.0499763832215986E-2</v>
      </c>
      <c r="T24" s="27">
        <v>5.7495001633287268</v>
      </c>
      <c r="U24" s="27">
        <v>4.4586108193991478</v>
      </c>
      <c r="V24" s="27">
        <v>0</v>
      </c>
      <c r="W24" s="27">
        <v>0.58545855970023564</v>
      </c>
    </row>
    <row r="25" spans="1:23" ht="15" customHeight="1" x14ac:dyDescent="0.25">
      <c r="A25" s="11">
        <v>4</v>
      </c>
      <c r="B25" s="11" t="s">
        <v>14</v>
      </c>
      <c r="C25" s="38" t="s">
        <v>10</v>
      </c>
      <c r="D25" s="23" t="s">
        <v>1</v>
      </c>
      <c r="E25" s="23"/>
      <c r="F25" s="26">
        <v>191</v>
      </c>
      <c r="G25" s="15">
        <v>45273</v>
      </c>
      <c r="H25" s="13">
        <v>20</v>
      </c>
      <c r="I25" s="16">
        <v>24.6</v>
      </c>
      <c r="J25" s="16">
        <v>12.5</v>
      </c>
      <c r="K25" s="16">
        <f t="shared" si="1"/>
        <v>508.13008130081295</v>
      </c>
      <c r="L25" s="24">
        <v>0.4955</v>
      </c>
      <c r="M25" s="32">
        <v>1.5841222002413315</v>
      </c>
      <c r="N25" s="27">
        <v>496.30611000000005</v>
      </c>
      <c r="O25" s="27">
        <v>11.708110000000001</v>
      </c>
      <c r="P25" s="27">
        <v>0.62031814080410608</v>
      </c>
      <c r="Q25" s="27">
        <v>1.8952883654524744E-2</v>
      </c>
      <c r="R25" s="27">
        <v>0.68254449792121918</v>
      </c>
      <c r="S25" s="27">
        <v>3.3848794934370291E-2</v>
      </c>
      <c r="T25" s="27">
        <v>2.0237251269965895</v>
      </c>
      <c r="U25" s="27">
        <v>1.3291780501780723</v>
      </c>
      <c r="V25" s="27">
        <v>0</v>
      </c>
      <c r="W25" s="27">
        <v>0.67055111744776807</v>
      </c>
    </row>
    <row r="26" spans="1:23" ht="15" customHeight="1" x14ac:dyDescent="0.25">
      <c r="A26" s="3">
        <v>4</v>
      </c>
      <c r="B26" s="11" t="s">
        <v>14</v>
      </c>
      <c r="C26" s="35" t="s">
        <v>10</v>
      </c>
      <c r="D26" s="23" t="s">
        <v>1</v>
      </c>
      <c r="E26" s="6"/>
      <c r="F26" s="7">
        <v>200</v>
      </c>
      <c r="G26" s="15">
        <v>45273</v>
      </c>
      <c r="H26" s="13">
        <v>20</v>
      </c>
      <c r="I26" s="16">
        <v>19.98</v>
      </c>
      <c r="J26" s="16">
        <v>8.98</v>
      </c>
      <c r="K26" s="16">
        <f t="shared" si="1"/>
        <v>449.4494494494495</v>
      </c>
      <c r="L26" s="24">
        <v>0.44766666666666666</v>
      </c>
      <c r="M26" s="32">
        <v>1.5331926184519251</v>
      </c>
      <c r="N26" s="27">
        <v>487.67815000000002</v>
      </c>
      <c r="O26" s="27">
        <v>10.53162</v>
      </c>
      <c r="P26" s="27">
        <v>0.57653570942518961</v>
      </c>
      <c r="Q26" s="27">
        <v>6.1383113273170897E-3</v>
      </c>
      <c r="R26" s="27">
        <v>1.0280886888612608</v>
      </c>
      <c r="S26" s="27">
        <v>3.525374277896471E-2</v>
      </c>
      <c r="T26" s="27">
        <v>2.4836298413994546</v>
      </c>
      <c r="U26" s="27">
        <v>1.7643005288172897</v>
      </c>
      <c r="V26" s="27">
        <v>0</v>
      </c>
      <c r="W26" s="27">
        <v>0.71175443978373909</v>
      </c>
    </row>
    <row r="27" spans="1:23" ht="15" customHeight="1" x14ac:dyDescent="0.25">
      <c r="A27" s="11">
        <v>4</v>
      </c>
      <c r="B27" s="11" t="s">
        <v>14</v>
      </c>
      <c r="C27" s="20" t="s">
        <v>10</v>
      </c>
      <c r="D27" s="23" t="s">
        <v>1</v>
      </c>
      <c r="E27" s="23"/>
      <c r="F27" s="26">
        <v>205</v>
      </c>
      <c r="G27" s="15">
        <v>45273</v>
      </c>
      <c r="H27" s="13">
        <v>20</v>
      </c>
      <c r="I27" s="16">
        <v>27.96</v>
      </c>
      <c r="J27" s="16">
        <v>13.43</v>
      </c>
      <c r="K27" s="16">
        <f t="shared" si="1"/>
        <v>480.32904148783973</v>
      </c>
      <c r="L27" s="24">
        <v>0.49366666666666664</v>
      </c>
      <c r="M27" s="32">
        <v>1.6175447382906298</v>
      </c>
      <c r="N27" s="27">
        <v>494.48436999999996</v>
      </c>
      <c r="O27" s="27">
        <v>11.06664</v>
      </c>
      <c r="P27" s="27">
        <v>0.88930536403031157</v>
      </c>
      <c r="Q27" s="27">
        <v>6.7192825011462343E-2</v>
      </c>
      <c r="R27" s="27">
        <v>0.69833880666787107</v>
      </c>
      <c r="S27" s="27">
        <v>2.9200018318937208E-2</v>
      </c>
      <c r="T27" s="27">
        <v>2.2440656007626316</v>
      </c>
      <c r="U27" s="27">
        <v>1.3351278144030565</v>
      </c>
      <c r="V27" s="27">
        <v>0</v>
      </c>
      <c r="W27" s="27">
        <v>0.69790416786521037</v>
      </c>
    </row>
    <row r="28" spans="1:23" ht="15" customHeight="1" x14ac:dyDescent="0.25">
      <c r="A28" s="3">
        <v>4</v>
      </c>
      <c r="B28" s="11" t="s">
        <v>14</v>
      </c>
      <c r="C28" s="35" t="s">
        <v>9</v>
      </c>
      <c r="D28" s="23" t="s">
        <v>0</v>
      </c>
      <c r="E28" s="6"/>
      <c r="F28" s="7">
        <v>209</v>
      </c>
      <c r="G28" s="15">
        <v>45273</v>
      </c>
      <c r="H28" s="13">
        <v>20</v>
      </c>
      <c r="I28" s="16">
        <v>44.99</v>
      </c>
      <c r="J28" s="16">
        <v>19.05</v>
      </c>
      <c r="K28" s="16">
        <f t="shared" si="1"/>
        <v>423.42742831740389</v>
      </c>
      <c r="L28" s="24">
        <v>0.50566666666666671</v>
      </c>
      <c r="M28" s="32">
        <v>1.8928827898396086</v>
      </c>
      <c r="N28" s="27">
        <v>522.48337000000004</v>
      </c>
      <c r="O28" s="27">
        <v>13.082910000000002</v>
      </c>
      <c r="P28" s="27">
        <v>0.89989723514976894</v>
      </c>
      <c r="Q28" s="27">
        <v>2.1382168074245204E-2</v>
      </c>
      <c r="R28" s="27">
        <v>2.8341637363477625</v>
      </c>
      <c r="S28" s="27">
        <v>2.8617074331242148E-2</v>
      </c>
      <c r="T28" s="27">
        <v>3.7030507593740269</v>
      </c>
      <c r="U28" s="27">
        <v>2.0817837623109909</v>
      </c>
      <c r="V28" s="27">
        <v>0</v>
      </c>
      <c r="W28" s="27">
        <v>1.4227986302889577</v>
      </c>
    </row>
    <row r="29" spans="1:23" ht="15" customHeight="1" x14ac:dyDescent="0.25">
      <c r="A29" s="4">
        <v>4</v>
      </c>
      <c r="B29" s="11" t="s">
        <v>14</v>
      </c>
      <c r="C29" s="37" t="s">
        <v>9</v>
      </c>
      <c r="D29" s="23" t="s">
        <v>0</v>
      </c>
      <c r="E29" s="6"/>
      <c r="F29" s="7">
        <v>213</v>
      </c>
      <c r="G29" s="15">
        <v>45274</v>
      </c>
      <c r="H29" s="13">
        <v>20</v>
      </c>
      <c r="I29" s="16">
        <v>24.37</v>
      </c>
      <c r="J29" s="16">
        <v>10.86</v>
      </c>
      <c r="K29" s="16">
        <f t="shared" si="1"/>
        <v>445.62987279441933</v>
      </c>
      <c r="L29" s="24">
        <v>0.57916666666666672</v>
      </c>
      <c r="M29" s="32">
        <v>1.9199391301652307</v>
      </c>
      <c r="N29" s="27">
        <v>522.56309999999996</v>
      </c>
      <c r="O29" s="27">
        <v>13.18244</v>
      </c>
      <c r="P29" s="27">
        <v>1.8186505727889795</v>
      </c>
      <c r="Q29" s="27">
        <v>2.8419334293550529E-2</v>
      </c>
      <c r="R29" s="27">
        <v>4.3016546395860411</v>
      </c>
      <c r="S29" s="27">
        <v>1.5615780227804084E-2</v>
      </c>
      <c r="T29" s="27">
        <v>2.9237318424838681</v>
      </c>
      <c r="U29" s="27">
        <v>2.8503103837992878</v>
      </c>
      <c r="V29" s="27">
        <v>0</v>
      </c>
      <c r="W29" s="27">
        <v>0.63824183053382444</v>
      </c>
    </row>
    <row r="30" spans="1:23" ht="15" customHeight="1" x14ac:dyDescent="0.25">
      <c r="A30" s="3">
        <v>4</v>
      </c>
      <c r="B30" s="11" t="s">
        <v>14</v>
      </c>
      <c r="C30" s="35" t="s">
        <v>10</v>
      </c>
      <c r="D30" s="23" t="s">
        <v>1</v>
      </c>
      <c r="E30" s="10">
        <v>5807</v>
      </c>
      <c r="F30" s="7">
        <v>217</v>
      </c>
      <c r="G30" s="15">
        <v>45273</v>
      </c>
      <c r="H30" s="13">
        <v>20</v>
      </c>
      <c r="I30" s="16">
        <v>33.79</v>
      </c>
      <c r="J30" s="16">
        <v>15.51</v>
      </c>
      <c r="K30" s="16">
        <f t="shared" si="1"/>
        <v>459.01154187629476</v>
      </c>
      <c r="L30" s="24">
        <v>0.48666666666666675</v>
      </c>
      <c r="M30" s="32">
        <v>1.5939367550653318</v>
      </c>
      <c r="N30" s="27">
        <v>504.64733000000001</v>
      </c>
      <c r="O30" s="27">
        <v>11.504650000000002</v>
      </c>
      <c r="P30" s="27">
        <v>1.2409842903384316</v>
      </c>
      <c r="Q30" s="27">
        <v>6.9328453469162082E-2</v>
      </c>
      <c r="R30" s="27">
        <v>0.77670988526236651</v>
      </c>
      <c r="S30" s="27">
        <v>3.0715362206706572E-2</v>
      </c>
      <c r="T30" s="27">
        <v>2.2470793469590276</v>
      </c>
      <c r="U30" s="27">
        <v>1.9531108761772662</v>
      </c>
      <c r="V30" s="27">
        <v>0</v>
      </c>
      <c r="W30" s="27">
        <v>0.75758155635406643</v>
      </c>
    </row>
    <row r="31" spans="1:23" ht="15" customHeight="1" x14ac:dyDescent="0.25">
      <c r="A31" s="29">
        <v>4</v>
      </c>
      <c r="B31" s="11" t="s">
        <v>14</v>
      </c>
      <c r="C31" s="27" t="s">
        <v>9</v>
      </c>
      <c r="D31" s="23" t="s">
        <v>0</v>
      </c>
      <c r="E31" s="30"/>
      <c r="F31" s="31">
        <v>219</v>
      </c>
      <c r="G31" s="15">
        <v>45274</v>
      </c>
      <c r="H31" s="18">
        <v>20</v>
      </c>
      <c r="I31" s="19">
        <v>15.96</v>
      </c>
      <c r="J31" s="19">
        <v>7.35</v>
      </c>
      <c r="K31" s="16">
        <f t="shared" si="1"/>
        <v>460.52631578947364</v>
      </c>
      <c r="L31" s="24">
        <v>0.55649999999999999</v>
      </c>
      <c r="M31" s="32">
        <v>1.7785564890519303</v>
      </c>
      <c r="N31" s="27">
        <v>530.92739000000006</v>
      </c>
      <c r="O31" s="27">
        <v>13.08488</v>
      </c>
      <c r="P31" s="27">
        <v>1.5079026138497016</v>
      </c>
      <c r="Q31" s="27">
        <v>9.0126718481674771E-3</v>
      </c>
      <c r="R31" s="27">
        <v>4.7695322542447309</v>
      </c>
      <c r="S31" s="27">
        <v>2.0309464794252843E-2</v>
      </c>
      <c r="T31" s="27">
        <v>2.8034132894863864</v>
      </c>
      <c r="U31" s="27">
        <v>3.3591561504793286</v>
      </c>
      <c r="V31" s="27">
        <v>0</v>
      </c>
      <c r="W31" s="27">
        <v>0.70762505809660969</v>
      </c>
    </row>
    <row r="32" spans="1:23" ht="15" customHeight="1" x14ac:dyDescent="0.25">
      <c r="A32" s="3">
        <v>6</v>
      </c>
      <c r="B32" s="3" t="s">
        <v>13</v>
      </c>
      <c r="C32" s="35" t="s">
        <v>10</v>
      </c>
      <c r="D32" s="23" t="s">
        <v>1</v>
      </c>
      <c r="E32" s="6">
        <v>8381</v>
      </c>
      <c r="F32" s="7">
        <v>282</v>
      </c>
      <c r="G32" s="15">
        <v>45275</v>
      </c>
      <c r="H32" s="13">
        <v>20</v>
      </c>
      <c r="I32" s="16">
        <v>21.39</v>
      </c>
      <c r="J32" s="16">
        <v>9.65</v>
      </c>
      <c r="K32" s="16">
        <f t="shared" si="1"/>
        <v>451.14539504441325</v>
      </c>
      <c r="L32" s="24">
        <v>0.46500000000000002</v>
      </c>
      <c r="M32" s="32">
        <v>1.5785517772331152</v>
      </c>
      <c r="N32" s="27">
        <v>501.29680999999999</v>
      </c>
      <c r="O32" s="27">
        <v>12.204420000000001</v>
      </c>
      <c r="P32" s="27">
        <v>0.4225314752105393</v>
      </c>
      <c r="Q32" s="27">
        <v>4.8980220744282044E-2</v>
      </c>
      <c r="R32" s="27">
        <v>1.3179435750725408</v>
      </c>
      <c r="S32" s="27">
        <v>4.113122169495239E-2</v>
      </c>
      <c r="T32" s="27">
        <v>4.6592782608710079</v>
      </c>
      <c r="U32" s="27">
        <v>1.2812434212903334</v>
      </c>
      <c r="V32" s="27">
        <v>3.587299286256472E-2</v>
      </c>
      <c r="W32" s="27">
        <v>0.77492717217704943</v>
      </c>
    </row>
    <row r="33" spans="1:23" ht="15" customHeight="1" x14ac:dyDescent="0.25">
      <c r="A33" s="3">
        <v>6</v>
      </c>
      <c r="B33" s="3" t="s">
        <v>13</v>
      </c>
      <c r="C33" s="35" t="s">
        <v>9</v>
      </c>
      <c r="D33" s="23" t="s">
        <v>0</v>
      </c>
      <c r="E33" s="6"/>
      <c r="F33" s="7">
        <v>286</v>
      </c>
      <c r="G33" s="15">
        <v>45274</v>
      </c>
      <c r="H33" s="13">
        <v>20</v>
      </c>
      <c r="I33" s="16">
        <v>25.48</v>
      </c>
      <c r="J33" s="16">
        <v>11.35</v>
      </c>
      <c r="K33" s="16">
        <f t="shared" si="1"/>
        <v>445.447409733124</v>
      </c>
      <c r="L33" s="24">
        <v>0.52666666666666673</v>
      </c>
      <c r="M33" s="32">
        <v>1.6599860564484687</v>
      </c>
      <c r="N33" s="27">
        <v>534.91954999999996</v>
      </c>
      <c r="O33" s="27">
        <v>14.337819999999999</v>
      </c>
      <c r="P33" s="27">
        <v>0.74580320851612514</v>
      </c>
      <c r="Q33" s="27">
        <v>1.2727154631044192E-2</v>
      </c>
      <c r="R33" s="27">
        <v>2.7305599294138276</v>
      </c>
      <c r="S33" s="27">
        <v>2.035856932026248E-2</v>
      </c>
      <c r="T33" s="27">
        <v>4.1217759209637164</v>
      </c>
      <c r="U33" s="27">
        <v>1.2872881267756984</v>
      </c>
      <c r="V33" s="27">
        <v>7.6525695995930745E-2</v>
      </c>
      <c r="W33" s="27">
        <v>0.65198182136378591</v>
      </c>
    </row>
    <row r="34" spans="1:23" ht="15" customHeight="1" x14ac:dyDescent="0.25">
      <c r="A34" s="3">
        <v>6</v>
      </c>
      <c r="B34" s="3" t="s">
        <v>13</v>
      </c>
      <c r="C34" s="35" t="s">
        <v>9</v>
      </c>
      <c r="D34" s="23" t="s">
        <v>0</v>
      </c>
      <c r="E34" s="6"/>
      <c r="F34" s="7">
        <v>290</v>
      </c>
      <c r="G34" s="15">
        <v>45274</v>
      </c>
      <c r="H34" s="13">
        <v>20</v>
      </c>
      <c r="I34" s="16">
        <v>34.93</v>
      </c>
      <c r="J34" s="16">
        <v>14.56</v>
      </c>
      <c r="K34" s="16">
        <f t="shared" si="1"/>
        <v>416.83366733466937</v>
      </c>
      <c r="L34" s="24">
        <v>0.50116666666666665</v>
      </c>
      <c r="M34" s="32">
        <v>1.6278898095916028</v>
      </c>
      <c r="N34" s="27">
        <v>528.51349000000005</v>
      </c>
      <c r="O34" s="27">
        <v>15.31643</v>
      </c>
      <c r="P34" s="27">
        <v>0.81177577390719646</v>
      </c>
      <c r="Q34" s="27">
        <v>3.0029774863615036E-3</v>
      </c>
      <c r="R34" s="27">
        <v>3.322175394472016</v>
      </c>
      <c r="S34" s="27">
        <v>1.9090764248315784E-2</v>
      </c>
      <c r="T34" s="27">
        <v>4.1671563406623466</v>
      </c>
      <c r="U34" s="27">
        <v>1.4113697120910642</v>
      </c>
      <c r="V34" s="27">
        <v>1.7659054901676602E-2</v>
      </c>
      <c r="W34" s="27">
        <v>1.1528174939658862</v>
      </c>
    </row>
    <row r="35" spans="1:23" ht="15" customHeight="1" x14ac:dyDescent="0.25">
      <c r="A35" s="3">
        <v>6</v>
      </c>
      <c r="B35" s="3" t="s">
        <v>13</v>
      </c>
      <c r="C35" s="35" t="s">
        <v>10</v>
      </c>
      <c r="D35" s="23" t="s">
        <v>1</v>
      </c>
      <c r="E35" s="6">
        <v>4905</v>
      </c>
      <c r="F35" s="7">
        <v>308</v>
      </c>
      <c r="G35" s="15">
        <v>45275</v>
      </c>
      <c r="H35" s="13">
        <v>20</v>
      </c>
      <c r="I35" s="16">
        <v>22.56</v>
      </c>
      <c r="J35" s="16">
        <v>10.65</v>
      </c>
      <c r="K35" s="16">
        <f t="shared" si="1"/>
        <v>472.07446808510645</v>
      </c>
      <c r="L35" s="24">
        <v>0.4971666666666667</v>
      </c>
      <c r="M35" s="32">
        <v>1.6371738479386302</v>
      </c>
      <c r="N35" s="27">
        <v>501.09469999999999</v>
      </c>
      <c r="O35" s="27">
        <v>11.677640000000002</v>
      </c>
      <c r="P35" s="27">
        <v>0.46950827267490086</v>
      </c>
      <c r="Q35" s="27">
        <v>3.8620375180083738E-2</v>
      </c>
      <c r="R35" s="27">
        <v>1.166290508501086</v>
      </c>
      <c r="S35" s="27">
        <v>4.6923740594414995E-2</v>
      </c>
      <c r="T35" s="27">
        <v>2.4248670528247889</v>
      </c>
      <c r="U35" s="27">
        <v>1.3409998607212759</v>
      </c>
      <c r="V35" s="27">
        <v>7.3747026661911325E-2</v>
      </c>
      <c r="W35" s="27">
        <v>0.76572559903469151</v>
      </c>
    </row>
    <row r="36" spans="1:23" ht="15" customHeight="1" x14ac:dyDescent="0.25">
      <c r="A36" s="11">
        <v>6</v>
      </c>
      <c r="B36" s="3" t="s">
        <v>13</v>
      </c>
      <c r="C36" s="20" t="s">
        <v>9</v>
      </c>
      <c r="D36" s="23" t="s">
        <v>0</v>
      </c>
      <c r="E36" s="23"/>
      <c r="F36" s="26">
        <v>310</v>
      </c>
      <c r="G36" s="15">
        <v>45275</v>
      </c>
      <c r="H36" s="13">
        <v>20</v>
      </c>
      <c r="I36" s="16">
        <v>37.06</v>
      </c>
      <c r="J36" s="16">
        <v>15.54</v>
      </c>
      <c r="K36" s="16">
        <f t="shared" si="1"/>
        <v>419.32002158661624</v>
      </c>
      <c r="L36" s="24">
        <v>0.4965</v>
      </c>
      <c r="M36" s="32">
        <v>1.7114461547148483</v>
      </c>
      <c r="N36" s="27">
        <v>521.86039000000005</v>
      </c>
      <c r="O36" s="27">
        <v>14.14644</v>
      </c>
      <c r="P36" s="27">
        <v>0.8361223093456559</v>
      </c>
      <c r="Q36" s="27">
        <v>2.8351992017341583E-2</v>
      </c>
      <c r="R36" s="27">
        <v>4.1060280862042404</v>
      </c>
      <c r="S36" s="27">
        <v>4.3266268746462173E-2</v>
      </c>
      <c r="T36" s="27">
        <v>4.4634667362230855</v>
      </c>
      <c r="U36" s="27">
        <v>2.225621654562937</v>
      </c>
      <c r="V36" s="27">
        <v>7.6769699263094765E-2</v>
      </c>
      <c r="W36" s="27">
        <v>0.82568518152160986</v>
      </c>
    </row>
    <row r="37" spans="1:23" ht="15" customHeight="1" x14ac:dyDescent="0.25">
      <c r="A37" s="3">
        <v>6</v>
      </c>
      <c r="B37" s="3" t="s">
        <v>13</v>
      </c>
      <c r="C37" s="35" t="s">
        <v>10</v>
      </c>
      <c r="D37" s="23" t="s">
        <v>1</v>
      </c>
      <c r="E37" s="6"/>
      <c r="F37" s="28">
        <v>6021</v>
      </c>
      <c r="G37" s="15">
        <v>45274</v>
      </c>
      <c r="H37" s="13">
        <v>20</v>
      </c>
      <c r="I37" s="16">
        <v>20.03</v>
      </c>
      <c r="J37" s="16">
        <v>10.26</v>
      </c>
      <c r="K37" s="16">
        <f t="shared" ref="K37:K49" si="2">J37/I37*1000</f>
        <v>512.23165252121817</v>
      </c>
      <c r="L37" s="24">
        <v>0.46649999999999997</v>
      </c>
      <c r="M37" s="32">
        <v>1.5085236022726813</v>
      </c>
      <c r="N37" s="27">
        <v>503.56697000000003</v>
      </c>
      <c r="O37" s="27">
        <v>11.392159999999999</v>
      </c>
      <c r="P37" s="27">
        <v>0.40585169358325507</v>
      </c>
      <c r="Q37" s="27">
        <v>3.7058904597417307E-2</v>
      </c>
      <c r="R37" s="27">
        <v>0.77305920990865962</v>
      </c>
      <c r="S37" s="27">
        <v>2.2812688062573919E-2</v>
      </c>
      <c r="T37" s="27">
        <v>3.2306597018987673</v>
      </c>
      <c r="U37" s="27">
        <v>0.87247138806089997</v>
      </c>
      <c r="V37" s="27">
        <v>7.4728570751806611E-2</v>
      </c>
      <c r="W37" s="27">
        <v>0.65361373069631201</v>
      </c>
    </row>
    <row r="38" spans="1:23" ht="15" customHeight="1" x14ac:dyDescent="0.25">
      <c r="A38" s="11">
        <v>7</v>
      </c>
      <c r="B38" s="4" t="s">
        <v>8</v>
      </c>
      <c r="C38" s="20" t="s">
        <v>10</v>
      </c>
      <c r="D38" s="23" t="s">
        <v>1</v>
      </c>
      <c r="E38" s="23"/>
      <c r="F38" s="26">
        <v>333</v>
      </c>
      <c r="G38" s="15">
        <v>45276</v>
      </c>
      <c r="H38" s="13">
        <v>20</v>
      </c>
      <c r="I38" s="16">
        <v>17</v>
      </c>
      <c r="J38" s="16">
        <v>8.01</v>
      </c>
      <c r="K38" s="16">
        <f t="shared" si="2"/>
        <v>471.1764705882353</v>
      </c>
      <c r="L38" s="24">
        <v>0.47383333333333333</v>
      </c>
      <c r="M38" s="32">
        <v>1.482528294901005</v>
      </c>
      <c r="N38" s="27">
        <v>504.08852000000007</v>
      </c>
      <c r="O38" s="27">
        <v>10.921289999999999</v>
      </c>
      <c r="P38" s="27">
        <v>0.40900621802365544</v>
      </c>
      <c r="Q38" s="27">
        <v>5.5787358230714047E-2</v>
      </c>
      <c r="R38" s="27">
        <v>0.95973735117685022</v>
      </c>
      <c r="S38" s="27">
        <v>4.4974905876756094E-2</v>
      </c>
      <c r="T38" s="27">
        <v>3.6722521567267505</v>
      </c>
      <c r="U38" s="27">
        <v>1.1467742029488903</v>
      </c>
      <c r="V38" s="27">
        <v>0.1152405722488314</v>
      </c>
      <c r="W38" s="27">
        <v>0.67284165998378676</v>
      </c>
    </row>
    <row r="39" spans="1:23" ht="15" customHeight="1" x14ac:dyDescent="0.25">
      <c r="A39" s="3">
        <v>7</v>
      </c>
      <c r="B39" s="4" t="s">
        <v>8</v>
      </c>
      <c r="C39" s="35" t="s">
        <v>9</v>
      </c>
      <c r="D39" s="23" t="s">
        <v>0</v>
      </c>
      <c r="E39" s="6"/>
      <c r="F39" s="7">
        <v>335</v>
      </c>
      <c r="G39" s="15">
        <v>45275</v>
      </c>
      <c r="H39" s="13">
        <v>20</v>
      </c>
      <c r="I39" s="16">
        <v>41.24</v>
      </c>
      <c r="J39" s="16">
        <v>17.46</v>
      </c>
      <c r="K39" s="16">
        <f t="shared" si="2"/>
        <v>423.37536372453928</v>
      </c>
      <c r="L39" s="24">
        <v>0.45033333333333331</v>
      </c>
      <c r="M39" s="32">
        <v>1.609586991136035</v>
      </c>
      <c r="N39" s="27">
        <v>518.22425999999996</v>
      </c>
      <c r="O39" s="27">
        <v>13.55855</v>
      </c>
      <c r="P39" s="27">
        <v>0.71351824318066959</v>
      </c>
      <c r="Q39" s="27">
        <v>6.8288407516038556E-3</v>
      </c>
      <c r="R39" s="27">
        <v>2.9659732245388502</v>
      </c>
      <c r="S39" s="27">
        <v>1.6192523958575067E-2</v>
      </c>
      <c r="T39" s="27">
        <v>5.3442064417588728</v>
      </c>
      <c r="U39" s="27">
        <v>1.5415479028250749</v>
      </c>
      <c r="V39" s="27">
        <v>8.4732572655243213E-2</v>
      </c>
      <c r="W39" s="27">
        <v>0.60745506559882334</v>
      </c>
    </row>
    <row r="40" spans="1:23" ht="15" customHeight="1" x14ac:dyDescent="0.25">
      <c r="A40" s="3">
        <v>7</v>
      </c>
      <c r="B40" s="4" t="s">
        <v>8</v>
      </c>
      <c r="C40" s="35" t="s">
        <v>10</v>
      </c>
      <c r="D40" s="23" t="s">
        <v>1</v>
      </c>
      <c r="E40" s="6"/>
      <c r="F40" s="7">
        <v>341</v>
      </c>
      <c r="G40" s="15">
        <v>45275</v>
      </c>
      <c r="H40" s="13">
        <v>20</v>
      </c>
      <c r="I40" s="16">
        <v>21.51</v>
      </c>
      <c r="J40" s="16">
        <v>10.039999999999999</v>
      </c>
      <c r="K40" s="16">
        <f t="shared" si="2"/>
        <v>466.75964667596458</v>
      </c>
      <c r="L40" s="24">
        <v>0.48849999999999999</v>
      </c>
      <c r="M40" s="32">
        <v>1.6209930953909542</v>
      </c>
      <c r="N40" s="27">
        <v>500.85838000000001</v>
      </c>
      <c r="O40" s="27">
        <v>8.9358699999999995</v>
      </c>
      <c r="P40" s="27">
        <v>0.41911620356776214</v>
      </c>
      <c r="Q40" s="27">
        <v>4.5595817799064207E-2</v>
      </c>
      <c r="R40" s="27">
        <v>1.3232294874929846</v>
      </c>
      <c r="S40" s="27">
        <v>3.0184586815716518E-2</v>
      </c>
      <c r="T40" s="27">
        <v>3.7854379072799675</v>
      </c>
      <c r="U40" s="27">
        <v>1.1905805528587659</v>
      </c>
      <c r="V40" s="27">
        <v>0.23117569891516676</v>
      </c>
      <c r="W40" s="27">
        <v>0.64538435640185099</v>
      </c>
    </row>
    <row r="41" spans="1:23" ht="15" customHeight="1" x14ac:dyDescent="0.25">
      <c r="A41" s="3">
        <v>7</v>
      </c>
      <c r="B41" s="4" t="s">
        <v>8</v>
      </c>
      <c r="C41" s="35" t="s">
        <v>10</v>
      </c>
      <c r="D41" s="23" t="s">
        <v>1</v>
      </c>
      <c r="E41" s="10">
        <v>6992</v>
      </c>
      <c r="F41" s="7">
        <v>351</v>
      </c>
      <c r="G41" s="15">
        <v>45275</v>
      </c>
      <c r="H41" s="13">
        <v>20</v>
      </c>
      <c r="I41" s="16">
        <v>14.18</v>
      </c>
      <c r="J41" s="16">
        <v>6.58</v>
      </c>
      <c r="K41" s="16">
        <f t="shared" si="2"/>
        <v>464.03385049365301</v>
      </c>
      <c r="L41" s="24">
        <v>0.45116666666666666</v>
      </c>
      <c r="M41" s="32">
        <v>1.5732466124633855</v>
      </c>
      <c r="N41" s="27">
        <v>497.12306999999998</v>
      </c>
      <c r="O41" s="27">
        <v>10.16024</v>
      </c>
      <c r="P41" s="27">
        <v>0.4436594649764164</v>
      </c>
      <c r="Q41" s="27">
        <v>6.8034439227985494E-2</v>
      </c>
      <c r="R41" s="27">
        <v>0.99922436569322559</v>
      </c>
      <c r="S41" s="27">
        <v>3.9521345769629727E-2</v>
      </c>
      <c r="T41" s="27">
        <v>4.9690562418409971</v>
      </c>
      <c r="U41" s="27">
        <v>0.9580686381773037</v>
      </c>
      <c r="V41" s="27">
        <v>2.0514976200429576E-2</v>
      </c>
      <c r="W41" s="27">
        <v>0.63895894341543069</v>
      </c>
    </row>
    <row r="42" spans="1:23" ht="15" customHeight="1" x14ac:dyDescent="0.25">
      <c r="A42" s="4">
        <v>7</v>
      </c>
      <c r="B42" s="4" t="s">
        <v>8</v>
      </c>
      <c r="C42" s="37" t="s">
        <v>9</v>
      </c>
      <c r="D42" s="23" t="s">
        <v>0</v>
      </c>
      <c r="E42" s="6"/>
      <c r="F42" s="7">
        <v>356</v>
      </c>
      <c r="G42" s="15">
        <v>45275</v>
      </c>
      <c r="H42" s="13">
        <v>20</v>
      </c>
      <c r="I42" s="16">
        <v>43.43</v>
      </c>
      <c r="J42" s="16">
        <v>19.690000000000001</v>
      </c>
      <c r="K42" s="16">
        <f t="shared" si="2"/>
        <v>453.37324430117434</v>
      </c>
      <c r="L42" s="24">
        <v>0.53733333333333333</v>
      </c>
      <c r="M42" s="32">
        <v>1.871396872522203</v>
      </c>
      <c r="N42" s="27">
        <v>525.09987000000001</v>
      </c>
      <c r="O42" s="27">
        <v>12.991710000000001</v>
      </c>
      <c r="P42" s="27">
        <v>0.7330294163502471</v>
      </c>
      <c r="Q42" s="27">
        <v>2.3410446323216969E-2</v>
      </c>
      <c r="R42" s="27">
        <v>6.0978111964994079</v>
      </c>
      <c r="S42" s="27">
        <v>4.1720596972441487E-2</v>
      </c>
      <c r="T42" s="27">
        <v>3.330271979229948</v>
      </c>
      <c r="U42" s="27">
        <v>2.4163213756761825</v>
      </c>
      <c r="V42" s="27">
        <v>8.3587006135066744E-3</v>
      </c>
      <c r="W42" s="27">
        <v>0.62731443320284119</v>
      </c>
    </row>
    <row r="43" spans="1:23" ht="15" customHeight="1" x14ac:dyDescent="0.25">
      <c r="A43" s="12">
        <v>7</v>
      </c>
      <c r="B43" s="4" t="s">
        <v>8</v>
      </c>
      <c r="C43" s="35" t="s">
        <v>9</v>
      </c>
      <c r="D43" s="23" t="s">
        <v>0</v>
      </c>
      <c r="E43" s="23"/>
      <c r="F43" s="26">
        <v>6994</v>
      </c>
      <c r="G43" s="15">
        <v>45275</v>
      </c>
      <c r="H43" s="13">
        <v>20</v>
      </c>
      <c r="I43" s="16">
        <v>25.42</v>
      </c>
      <c r="J43" s="16">
        <v>9.9600000000000009</v>
      </c>
      <c r="K43" s="16">
        <f t="shared" si="2"/>
        <v>391.81746656176244</v>
      </c>
      <c r="L43" s="24">
        <v>0.52033333333333331</v>
      </c>
      <c r="M43" s="32">
        <v>1.6276245513531165</v>
      </c>
      <c r="N43" s="27">
        <v>517.31335000000001</v>
      </c>
      <c r="O43" s="27">
        <v>14.5382</v>
      </c>
      <c r="P43" s="27">
        <v>0.87600763473775101</v>
      </c>
      <c r="Q43" s="27">
        <v>8.8822372225772439E-2</v>
      </c>
      <c r="R43" s="27">
        <v>4.8262905060651713</v>
      </c>
      <c r="S43" s="27">
        <v>4.2648566474203044E-2</v>
      </c>
      <c r="T43" s="27">
        <v>5.5277882218168699</v>
      </c>
      <c r="U43" s="27">
        <v>3.169718443828744</v>
      </c>
      <c r="V43" s="27">
        <v>0</v>
      </c>
      <c r="W43" s="27">
        <v>0.73289884442324349</v>
      </c>
    </row>
    <row r="44" spans="1:23" ht="15" customHeight="1" x14ac:dyDescent="0.25">
      <c r="A44" s="3">
        <v>7</v>
      </c>
      <c r="B44" s="4" t="s">
        <v>8</v>
      </c>
      <c r="C44" s="35" t="s">
        <v>10</v>
      </c>
      <c r="D44" s="23" t="s">
        <v>1</v>
      </c>
      <c r="E44" s="6"/>
      <c r="F44" s="28">
        <v>7994</v>
      </c>
      <c r="G44" s="15">
        <v>45275</v>
      </c>
      <c r="H44" s="13">
        <v>20</v>
      </c>
      <c r="I44" s="16">
        <v>21.63</v>
      </c>
      <c r="J44" s="16">
        <v>11.05</v>
      </c>
      <c r="K44" s="16">
        <f t="shared" si="2"/>
        <v>510.86453999075366</v>
      </c>
      <c r="L44" s="24">
        <v>0.45316666666666666</v>
      </c>
      <c r="M44" s="32">
        <v>1.4294766472037068</v>
      </c>
      <c r="N44" s="27">
        <v>502.86171000000002</v>
      </c>
      <c r="O44" s="27">
        <v>9.3125100000000014</v>
      </c>
      <c r="P44" s="27">
        <v>0.35478812082216848</v>
      </c>
      <c r="Q44" s="27">
        <v>6.2759884482388881E-2</v>
      </c>
      <c r="R44" s="27">
        <v>1.0959958401862118</v>
      </c>
      <c r="S44" s="27">
        <v>4.3914478440785908E-2</v>
      </c>
      <c r="T44" s="27">
        <v>3.0774403532707959</v>
      </c>
      <c r="U44" s="27">
        <v>1.5322957794711456</v>
      </c>
      <c r="V44" s="27">
        <v>0</v>
      </c>
      <c r="W44" s="27">
        <v>0.60720166686426202</v>
      </c>
    </row>
    <row r="45" spans="1:23" ht="15" customHeight="1" x14ac:dyDescent="0.25">
      <c r="A45" s="3">
        <v>8</v>
      </c>
      <c r="B45" s="4" t="s">
        <v>12</v>
      </c>
      <c r="C45" s="35" t="s">
        <v>10</v>
      </c>
      <c r="D45" s="23" t="s">
        <v>1</v>
      </c>
      <c r="E45" s="6"/>
      <c r="F45" s="7">
        <v>378</v>
      </c>
      <c r="G45" s="15">
        <v>45276</v>
      </c>
      <c r="H45" s="13">
        <v>20</v>
      </c>
      <c r="I45" s="16">
        <v>21.61</v>
      </c>
      <c r="J45" s="16">
        <v>10.62</v>
      </c>
      <c r="K45" s="16">
        <f t="shared" si="2"/>
        <v>491.43914854234151</v>
      </c>
      <c r="L45" s="24">
        <v>0.46233333333333332</v>
      </c>
      <c r="M45" s="32">
        <v>1.5066667946032759</v>
      </c>
      <c r="N45" s="27">
        <v>496.66194999999999</v>
      </c>
      <c r="O45" s="27">
        <v>8.6713000000000005</v>
      </c>
      <c r="P45" s="27">
        <v>2.0718698133458999</v>
      </c>
      <c r="Q45" s="27">
        <v>7.9548401658488074E-2</v>
      </c>
      <c r="R45" s="27">
        <v>0.76027500962950723</v>
      </c>
      <c r="S45" s="27">
        <v>4.3947470534443832E-2</v>
      </c>
      <c r="T45" s="27">
        <v>4.2656365517902923</v>
      </c>
      <c r="U45" s="27">
        <v>1.1728288754935385</v>
      </c>
      <c r="V45" s="27">
        <v>0</v>
      </c>
      <c r="W45" s="27">
        <v>0.54955023184554519</v>
      </c>
    </row>
    <row r="46" spans="1:23" ht="15" customHeight="1" x14ac:dyDescent="0.25">
      <c r="A46" s="3">
        <v>8</v>
      </c>
      <c r="B46" s="4" t="s">
        <v>12</v>
      </c>
      <c r="C46" s="35" t="s">
        <v>9</v>
      </c>
      <c r="D46" s="23" t="s">
        <v>0</v>
      </c>
      <c r="E46" s="6">
        <v>7237</v>
      </c>
      <c r="F46" s="7">
        <v>384</v>
      </c>
      <c r="G46" s="15">
        <v>45276</v>
      </c>
      <c r="H46" s="13">
        <v>20</v>
      </c>
      <c r="I46" s="16">
        <v>44.74</v>
      </c>
      <c r="J46" s="16">
        <v>19.57</v>
      </c>
      <c r="K46" s="16">
        <f t="shared" si="2"/>
        <v>437.41618238712562</v>
      </c>
      <c r="L46" s="24">
        <v>0.62883333333333324</v>
      </c>
      <c r="M46" s="32">
        <v>2.0438147275384226</v>
      </c>
      <c r="N46" s="27">
        <v>512.32413999999994</v>
      </c>
      <c r="O46" s="27">
        <v>12.007250000000001</v>
      </c>
      <c r="P46" s="27">
        <v>1.3361438496817986</v>
      </c>
      <c r="Q46" s="27">
        <v>3.0112866382734651E-3</v>
      </c>
      <c r="R46" s="27">
        <v>5.0191036639964475</v>
      </c>
      <c r="S46" s="27">
        <v>2.5242743593243942E-2</v>
      </c>
      <c r="T46" s="27">
        <v>3.6844152724048578</v>
      </c>
      <c r="U46" s="27">
        <v>2.8787395747135962</v>
      </c>
      <c r="V46" s="27">
        <v>0</v>
      </c>
      <c r="W46" s="27">
        <v>0.7703790828992938</v>
      </c>
    </row>
    <row r="47" spans="1:23" ht="15" customHeight="1" x14ac:dyDescent="0.25">
      <c r="A47" s="3">
        <v>8</v>
      </c>
      <c r="B47" s="4" t="s">
        <v>12</v>
      </c>
      <c r="C47" s="35" t="s">
        <v>9</v>
      </c>
      <c r="D47" s="23" t="s">
        <v>0</v>
      </c>
      <c r="E47" s="6"/>
      <c r="F47" s="7">
        <v>389</v>
      </c>
      <c r="G47" s="15">
        <v>45276</v>
      </c>
      <c r="H47" s="13">
        <v>20</v>
      </c>
      <c r="I47" s="16">
        <v>32.99</v>
      </c>
      <c r="J47" s="16">
        <v>14.13</v>
      </c>
      <c r="K47" s="16">
        <f t="shared" si="2"/>
        <v>428.31160957866024</v>
      </c>
      <c r="L47" s="24">
        <v>0.5053333333333333</v>
      </c>
      <c r="M47" s="32">
        <v>1.4751010642233833</v>
      </c>
      <c r="N47" s="27">
        <v>522.75833</v>
      </c>
      <c r="O47" s="27">
        <v>12.069399999999998</v>
      </c>
      <c r="P47" s="27">
        <v>3.7523055748241227</v>
      </c>
      <c r="Q47" s="27">
        <v>0</v>
      </c>
      <c r="R47" s="27">
        <v>7.2385137521506309</v>
      </c>
      <c r="S47" s="27">
        <v>1.7297120579351663E-2</v>
      </c>
      <c r="T47" s="27">
        <v>5.4681994067190622</v>
      </c>
      <c r="U47" s="27">
        <v>2.2959331710443847</v>
      </c>
      <c r="V47" s="27">
        <v>1.8337920614940779E-2</v>
      </c>
      <c r="W47" s="27">
        <v>0.65267718541780073</v>
      </c>
    </row>
    <row r="48" spans="1:23" ht="15" customHeight="1" x14ac:dyDescent="0.25">
      <c r="A48" s="11">
        <v>8</v>
      </c>
      <c r="B48" s="4" t="s">
        <v>12</v>
      </c>
      <c r="C48" s="20" t="s">
        <v>9</v>
      </c>
      <c r="D48" s="23" t="s">
        <v>0</v>
      </c>
      <c r="E48" s="23"/>
      <c r="F48" s="26">
        <v>410</v>
      </c>
      <c r="G48" s="15">
        <v>45279</v>
      </c>
      <c r="H48" s="13">
        <v>20</v>
      </c>
      <c r="I48" s="16">
        <v>41.49</v>
      </c>
      <c r="J48" s="16">
        <v>18.09</v>
      </c>
      <c r="K48" s="16">
        <f t="shared" si="2"/>
        <v>436.00867678958781</v>
      </c>
      <c r="L48" s="24">
        <v>0.5063333333333333</v>
      </c>
      <c r="M48" s="32">
        <v>1.5578616346311691</v>
      </c>
      <c r="N48" s="27">
        <v>514.95299999999997</v>
      </c>
      <c r="O48" s="27">
        <v>9.8137000000000008</v>
      </c>
      <c r="P48" s="27">
        <v>1.4470620209010356</v>
      </c>
      <c r="Q48" s="27">
        <v>0</v>
      </c>
      <c r="R48" s="27">
        <v>3.9933622815857257</v>
      </c>
      <c r="S48" s="27">
        <v>1.5833354132040001E-2</v>
      </c>
      <c r="T48" s="27">
        <v>4.0191528192609098</v>
      </c>
      <c r="U48" s="27">
        <v>2.234485551655212</v>
      </c>
      <c r="V48" s="27">
        <v>0.10562836826640058</v>
      </c>
      <c r="W48" s="27">
        <v>0.9163775544555931</v>
      </c>
    </row>
    <row r="49" spans="1:23" ht="15" customHeight="1" x14ac:dyDescent="0.25">
      <c r="A49" s="11">
        <v>8</v>
      </c>
      <c r="B49" s="4" t="s">
        <v>12</v>
      </c>
      <c r="C49" s="38" t="s">
        <v>10</v>
      </c>
      <c r="D49" s="23" t="s">
        <v>1</v>
      </c>
      <c r="E49" s="23"/>
      <c r="F49" s="26">
        <v>9080</v>
      </c>
      <c r="G49" s="15">
        <v>45281</v>
      </c>
      <c r="H49" s="13">
        <v>20</v>
      </c>
      <c r="I49" s="16">
        <v>20.71</v>
      </c>
      <c r="J49" s="16">
        <v>9.94</v>
      </c>
      <c r="K49" s="16">
        <f t="shared" si="2"/>
        <v>479.9613713182037</v>
      </c>
      <c r="L49" s="24">
        <v>0.47233333333333333</v>
      </c>
      <c r="M49" s="32">
        <v>1.4334555207810042</v>
      </c>
      <c r="N49" s="27">
        <v>485.85304000000002</v>
      </c>
      <c r="O49" s="27">
        <v>4.2333100000000004</v>
      </c>
      <c r="P49" s="27">
        <v>2.2965532178144379</v>
      </c>
      <c r="Q49" s="27">
        <v>3.6584838086764652E-2</v>
      </c>
      <c r="R49" s="27">
        <v>0.71863522988204076</v>
      </c>
      <c r="S49" s="27">
        <v>4.5811787410813841E-2</v>
      </c>
      <c r="T49" s="27">
        <v>3.8251936800419934</v>
      </c>
      <c r="U49" s="27">
        <v>1.4900620198357934</v>
      </c>
      <c r="V49" s="27">
        <v>0</v>
      </c>
      <c r="W49" s="27">
        <v>0.39055729029571523</v>
      </c>
    </row>
    <row r="50" spans="1:23" ht="15" customHeight="1" x14ac:dyDescent="0.25">
      <c r="A50" s="3">
        <v>9</v>
      </c>
      <c r="B50" s="3" t="s">
        <v>14</v>
      </c>
      <c r="C50" s="35" t="s">
        <v>9</v>
      </c>
      <c r="D50" s="23" t="s">
        <v>0</v>
      </c>
      <c r="E50" s="6">
        <v>8361</v>
      </c>
      <c r="F50" s="7">
        <v>446</v>
      </c>
      <c r="G50" s="15">
        <v>45280</v>
      </c>
      <c r="H50" s="13">
        <v>20</v>
      </c>
      <c r="I50" s="16">
        <v>26.61</v>
      </c>
      <c r="J50" s="16">
        <v>11.51</v>
      </c>
      <c r="K50" s="16">
        <f t="shared" ref="K50:K63" si="3">J50/I50*1000</f>
        <v>432.54415633220594</v>
      </c>
      <c r="L50" s="24">
        <v>0.53949999999999998</v>
      </c>
      <c r="M50" s="32">
        <v>1.3178029288008932</v>
      </c>
      <c r="N50" s="27">
        <v>517.37492000000009</v>
      </c>
      <c r="O50" s="27">
        <v>12.866519999999998</v>
      </c>
      <c r="P50" s="27">
        <v>1.2642007530208947</v>
      </c>
      <c r="Q50" s="27">
        <v>6.1479881160042887E-3</v>
      </c>
      <c r="R50" s="27">
        <v>3.5627477103693197</v>
      </c>
      <c r="S50" s="27">
        <v>1.1487734737309649E-2</v>
      </c>
      <c r="T50" s="27">
        <v>5.0766016442802009</v>
      </c>
      <c r="U50" s="27">
        <v>1.6685842783844682</v>
      </c>
      <c r="V50" s="27">
        <v>0</v>
      </c>
      <c r="W50" s="27">
        <v>0.48285890770807927</v>
      </c>
    </row>
    <row r="51" spans="1:23" ht="15" customHeight="1" x14ac:dyDescent="0.25">
      <c r="A51" s="4">
        <v>9</v>
      </c>
      <c r="B51" s="3" t="s">
        <v>14</v>
      </c>
      <c r="C51" s="37" t="s">
        <v>9</v>
      </c>
      <c r="D51" s="23" t="s">
        <v>0</v>
      </c>
      <c r="E51" s="6">
        <v>4469</v>
      </c>
      <c r="F51" s="7">
        <v>458</v>
      </c>
      <c r="G51" s="15">
        <v>45281</v>
      </c>
      <c r="H51" s="13">
        <v>20</v>
      </c>
      <c r="I51" s="16">
        <v>42.26</v>
      </c>
      <c r="J51" s="16">
        <v>17.13</v>
      </c>
      <c r="K51" s="16">
        <f t="shared" si="3"/>
        <v>405.34784666351158</v>
      </c>
      <c r="L51" s="24">
        <v>0.53433333333333333</v>
      </c>
      <c r="M51" s="32">
        <v>1.4979132727332218</v>
      </c>
      <c r="N51" s="27">
        <v>487.83427999999998</v>
      </c>
      <c r="O51" s="27">
        <v>13.062370000000001</v>
      </c>
      <c r="P51" s="27">
        <v>1.5499848013949284</v>
      </c>
      <c r="Q51" s="27">
        <v>2.4285866738629701E-3</v>
      </c>
      <c r="R51" s="27">
        <v>3.8048378089898924</v>
      </c>
      <c r="S51" s="27">
        <v>4.1963211958589507E-2</v>
      </c>
      <c r="T51" s="27">
        <v>6.439243411095946</v>
      </c>
      <c r="U51" s="27">
        <v>2.100718081409044</v>
      </c>
      <c r="V51" s="27">
        <v>0</v>
      </c>
      <c r="W51" s="27">
        <v>0.70382998236833993</v>
      </c>
    </row>
    <row r="52" spans="1:23" ht="15" customHeight="1" x14ac:dyDescent="0.25">
      <c r="A52" s="11">
        <v>11</v>
      </c>
      <c r="B52" s="11" t="s">
        <v>12</v>
      </c>
      <c r="C52" s="20" t="s">
        <v>9</v>
      </c>
      <c r="D52" s="23" t="s">
        <v>0</v>
      </c>
      <c r="E52" s="23"/>
      <c r="F52" s="26">
        <v>569</v>
      </c>
      <c r="G52" s="15">
        <v>45282</v>
      </c>
      <c r="H52" s="13">
        <v>20</v>
      </c>
      <c r="I52" s="16">
        <v>35.75</v>
      </c>
      <c r="J52" s="16">
        <v>16.14</v>
      </c>
      <c r="K52" s="16">
        <f t="shared" si="3"/>
        <v>451.46853146853152</v>
      </c>
      <c r="L52" s="24">
        <v>0.59083333333333332</v>
      </c>
      <c r="M52" s="32">
        <v>1.7400940444713895</v>
      </c>
      <c r="N52" s="27">
        <v>514.95617000000004</v>
      </c>
      <c r="O52" s="27">
        <v>13.163899999999998</v>
      </c>
      <c r="P52" s="27">
        <v>1.236769225312605</v>
      </c>
      <c r="Q52" s="27">
        <v>3.3569746305518289E-2</v>
      </c>
      <c r="R52" s="27">
        <v>5.9732396142006721</v>
      </c>
      <c r="S52" s="27">
        <v>2.9698999929937062E-2</v>
      </c>
      <c r="T52" s="27">
        <v>2.9619785934696448</v>
      </c>
      <c r="U52" s="27">
        <v>2.5724671520732825</v>
      </c>
      <c r="V52" s="27">
        <v>0</v>
      </c>
      <c r="W52" s="27">
        <v>0.6895798104979235</v>
      </c>
    </row>
    <row r="53" spans="1:23" ht="15" customHeight="1" x14ac:dyDescent="0.25">
      <c r="A53" s="3">
        <v>11</v>
      </c>
      <c r="B53" s="11" t="s">
        <v>12</v>
      </c>
      <c r="C53" s="35" t="s">
        <v>10</v>
      </c>
      <c r="D53" s="23" t="s">
        <v>1</v>
      </c>
      <c r="E53" s="10">
        <v>4898</v>
      </c>
      <c r="F53" s="7">
        <v>573</v>
      </c>
      <c r="G53" s="15">
        <v>45281</v>
      </c>
      <c r="H53" s="13">
        <v>20</v>
      </c>
      <c r="I53" s="16">
        <v>24.37</v>
      </c>
      <c r="J53" s="16">
        <v>12.12</v>
      </c>
      <c r="K53" s="16">
        <f t="shared" si="3"/>
        <v>497.33278621255641</v>
      </c>
      <c r="L53" s="24">
        <v>0.48316666666666669</v>
      </c>
      <c r="M53" s="32">
        <v>1.5459250138992766</v>
      </c>
      <c r="N53" s="27">
        <v>486.76822999999996</v>
      </c>
      <c r="O53" s="27">
        <v>10.291040000000001</v>
      </c>
      <c r="P53" s="27">
        <v>1.4338193730480955</v>
      </c>
      <c r="Q53" s="27">
        <v>3.6403192930293725E-2</v>
      </c>
      <c r="R53" s="27">
        <v>0.63406200116279854</v>
      </c>
      <c r="S53" s="27">
        <v>5.5330553409560959E-2</v>
      </c>
      <c r="T53" s="27">
        <v>3.7877128456906517</v>
      </c>
      <c r="U53" s="27">
        <v>1.3013396765129128</v>
      </c>
      <c r="V53" s="27">
        <v>0</v>
      </c>
      <c r="W53" s="27">
        <v>1.0481090106853321</v>
      </c>
    </row>
    <row r="54" spans="1:23" ht="15" customHeight="1" x14ac:dyDescent="0.25">
      <c r="A54" s="11">
        <v>11</v>
      </c>
      <c r="B54" s="11" t="s">
        <v>12</v>
      </c>
      <c r="C54" s="20" t="s">
        <v>9</v>
      </c>
      <c r="D54" s="23" t="s">
        <v>0</v>
      </c>
      <c r="E54" s="23"/>
      <c r="F54" s="26">
        <v>575</v>
      </c>
      <c r="G54" s="15">
        <v>45282</v>
      </c>
      <c r="H54" s="13">
        <v>20</v>
      </c>
      <c r="I54" s="16">
        <v>63.09</v>
      </c>
      <c r="J54" s="16">
        <v>30.2</v>
      </c>
      <c r="K54" s="16">
        <f t="shared" si="3"/>
        <v>478.68124900935169</v>
      </c>
      <c r="L54" s="24">
        <v>0.57550000000000001</v>
      </c>
      <c r="M54" s="32">
        <v>1.7337278467477131</v>
      </c>
      <c r="N54" s="27">
        <v>510.35041999999993</v>
      </c>
      <c r="O54" s="27">
        <v>11.896800000000001</v>
      </c>
      <c r="P54" s="27">
        <v>1.2443251551691301</v>
      </c>
      <c r="Q54" s="27">
        <v>1.4468693412650791E-2</v>
      </c>
      <c r="R54" s="27">
        <v>4.6973892583376049</v>
      </c>
      <c r="S54" s="27">
        <v>1.4347820442464299E-2</v>
      </c>
      <c r="T54" s="27">
        <v>3.2135473027656158</v>
      </c>
      <c r="U54" s="27">
        <v>2.1520706325722925</v>
      </c>
      <c r="V54" s="27">
        <v>0</v>
      </c>
      <c r="W54" s="27">
        <v>0.57025958917460684</v>
      </c>
    </row>
    <row r="55" spans="1:23" ht="15" customHeight="1" x14ac:dyDescent="0.25">
      <c r="A55" s="4">
        <v>11</v>
      </c>
      <c r="B55" s="11" t="s">
        <v>12</v>
      </c>
      <c r="C55" s="37" t="s">
        <v>10</v>
      </c>
      <c r="D55" s="23" t="s">
        <v>1</v>
      </c>
      <c r="E55" s="6"/>
      <c r="F55" s="7">
        <v>580</v>
      </c>
      <c r="G55" s="15">
        <v>45282</v>
      </c>
      <c r="H55" s="13">
        <v>20</v>
      </c>
      <c r="I55" s="16">
        <v>21.81</v>
      </c>
      <c r="J55" s="16">
        <v>10.76</v>
      </c>
      <c r="K55" s="16">
        <f t="shared" si="3"/>
        <v>493.35167354424578</v>
      </c>
      <c r="L55" s="24">
        <v>0.48733333333333334</v>
      </c>
      <c r="M55" s="32">
        <v>1.4347818119734366</v>
      </c>
      <c r="N55" s="27">
        <v>494.05349999999999</v>
      </c>
      <c r="O55" s="27">
        <v>9.5204000000000004</v>
      </c>
      <c r="P55" s="27">
        <v>2.206920483298215</v>
      </c>
      <c r="Q55" s="27">
        <v>3.0634878372966468E-2</v>
      </c>
      <c r="R55" s="27">
        <v>1.1836094567484221</v>
      </c>
      <c r="S55" s="27">
        <v>5.4625829580259307E-2</v>
      </c>
      <c r="T55" s="27">
        <v>4.1143124478550339</v>
      </c>
      <c r="U55" s="27">
        <v>0.93231697845031736</v>
      </c>
      <c r="V55" s="27">
        <v>0</v>
      </c>
      <c r="W55" s="27">
        <v>1.3926033344827164</v>
      </c>
    </row>
    <row r="56" spans="1:23" ht="15" customHeight="1" x14ac:dyDescent="0.25">
      <c r="A56" s="11">
        <v>11</v>
      </c>
      <c r="B56" s="11" t="s">
        <v>12</v>
      </c>
      <c r="C56" s="20" t="s">
        <v>9</v>
      </c>
      <c r="D56" s="23" t="s">
        <v>0</v>
      </c>
      <c r="E56" s="23"/>
      <c r="F56" s="26">
        <v>587</v>
      </c>
      <c r="G56" s="15">
        <v>45281</v>
      </c>
      <c r="H56" s="13">
        <v>20</v>
      </c>
      <c r="I56" s="16">
        <v>44.76</v>
      </c>
      <c r="J56" s="16">
        <v>20.13</v>
      </c>
      <c r="K56" s="16">
        <f t="shared" si="3"/>
        <v>449.73190348525469</v>
      </c>
      <c r="L56" s="24">
        <v>0.52133333333333332</v>
      </c>
      <c r="M56" s="32">
        <v>1.5764297113252232</v>
      </c>
      <c r="N56" s="27">
        <v>506.94499999999999</v>
      </c>
      <c r="O56" s="27">
        <v>15.131870000000001</v>
      </c>
      <c r="P56" s="27">
        <v>1.7064871813097191</v>
      </c>
      <c r="Q56" s="27">
        <v>1.6094172737206976E-2</v>
      </c>
      <c r="R56" s="27">
        <v>3.7663853649208083</v>
      </c>
      <c r="S56" s="27">
        <v>1.9754675136898603E-2</v>
      </c>
      <c r="T56" s="27">
        <v>3.8201960815540983</v>
      </c>
      <c r="U56" s="27">
        <v>2.5355164869214089</v>
      </c>
      <c r="V56" s="27">
        <v>0</v>
      </c>
      <c r="W56" s="27">
        <v>0.65272487799156209</v>
      </c>
    </row>
    <row r="57" spans="1:23" ht="15" customHeight="1" x14ac:dyDescent="0.25">
      <c r="A57" s="3">
        <v>11</v>
      </c>
      <c r="B57" s="11" t="s">
        <v>12</v>
      </c>
      <c r="C57" s="35" t="s">
        <v>9</v>
      </c>
      <c r="D57" s="23" t="s">
        <v>0</v>
      </c>
      <c r="E57" s="6"/>
      <c r="F57" s="7">
        <v>596</v>
      </c>
      <c r="G57" s="15">
        <v>45281</v>
      </c>
      <c r="H57" s="13">
        <v>20</v>
      </c>
      <c r="I57" s="16">
        <v>33.590000000000003</v>
      </c>
      <c r="J57" s="16">
        <v>13.44</v>
      </c>
      <c r="K57" s="16">
        <f t="shared" si="3"/>
        <v>400.1190830604346</v>
      </c>
      <c r="L57" s="24">
        <v>0.57366666666666666</v>
      </c>
      <c r="M57" s="32">
        <v>1.8448710486735536</v>
      </c>
      <c r="N57" s="27">
        <v>505.20847000000003</v>
      </c>
      <c r="O57" s="27">
        <v>11.227450000000001</v>
      </c>
      <c r="P57" s="27">
        <v>1.5283582257918034</v>
      </c>
      <c r="Q57" s="27">
        <v>1.8119138124778379E-2</v>
      </c>
      <c r="R57" s="27">
        <v>2.7255084696146943</v>
      </c>
      <c r="S57" s="27">
        <v>2.095808709893849E-2</v>
      </c>
      <c r="T57" s="27">
        <v>6.1662722072133089</v>
      </c>
      <c r="U57" s="27">
        <v>2.152699311109985</v>
      </c>
      <c r="V57" s="27">
        <v>0</v>
      </c>
      <c r="W57" s="27">
        <v>0.57119399416423045</v>
      </c>
    </row>
    <row r="58" spans="1:23" ht="15" customHeight="1" x14ac:dyDescent="0.25">
      <c r="A58" s="4">
        <v>11</v>
      </c>
      <c r="B58" s="11" t="s">
        <v>12</v>
      </c>
      <c r="C58" s="37" t="s">
        <v>10</v>
      </c>
      <c r="D58" s="23" t="s">
        <v>1</v>
      </c>
      <c r="E58" s="6"/>
      <c r="F58" s="7">
        <v>915</v>
      </c>
      <c r="G58" s="15">
        <v>45282</v>
      </c>
      <c r="H58" s="13">
        <v>20</v>
      </c>
      <c r="I58" s="16">
        <v>16.399999999999999</v>
      </c>
      <c r="J58" s="16">
        <v>7.85</v>
      </c>
      <c r="K58" s="16">
        <f t="shared" si="3"/>
        <v>478.65853658536588</v>
      </c>
      <c r="L58" s="24">
        <v>0.48799999999999999</v>
      </c>
      <c r="M58" s="32">
        <v>1.4777536466082479</v>
      </c>
      <c r="N58" s="27">
        <v>496.70402999999999</v>
      </c>
      <c r="O58" s="27">
        <v>10.69126</v>
      </c>
      <c r="P58" s="27">
        <v>1.0461029455407862</v>
      </c>
      <c r="Q58" s="27">
        <v>2.8814755032860837E-2</v>
      </c>
      <c r="R58" s="27">
        <v>0.74204822960371186</v>
      </c>
      <c r="S58" s="27">
        <v>4.6401002063959244E-2</v>
      </c>
      <c r="T58" s="27">
        <v>3.0601535256207786</v>
      </c>
      <c r="U58" s="27">
        <v>1.990570520997222</v>
      </c>
      <c r="V58" s="27">
        <v>2.3839402673042093E-2</v>
      </c>
      <c r="W58" s="27">
        <v>0.65619644928845844</v>
      </c>
    </row>
    <row r="59" spans="1:23" ht="15" customHeight="1" x14ac:dyDescent="0.25">
      <c r="A59" s="3">
        <v>12</v>
      </c>
      <c r="B59" s="4" t="s">
        <v>8</v>
      </c>
      <c r="C59" s="35" t="s">
        <v>10</v>
      </c>
      <c r="D59" s="23" t="s">
        <v>1</v>
      </c>
      <c r="E59" s="6"/>
      <c r="F59" s="7">
        <v>708</v>
      </c>
      <c r="G59" s="15">
        <v>45283</v>
      </c>
      <c r="H59" s="13">
        <v>20</v>
      </c>
      <c r="I59" s="16">
        <v>21.05</v>
      </c>
      <c r="J59" s="16">
        <v>10.51</v>
      </c>
      <c r="K59" s="16">
        <f t="shared" si="3"/>
        <v>499.28741092636574</v>
      </c>
      <c r="L59" s="24">
        <v>0.48549999999999999</v>
      </c>
      <c r="M59" s="32">
        <v>1.4859766520013293</v>
      </c>
      <c r="N59" s="27">
        <v>506.35567000000003</v>
      </c>
      <c r="O59" s="27">
        <v>11.349130000000001</v>
      </c>
      <c r="P59" s="27">
        <v>0.43324646440279818</v>
      </c>
      <c r="Q59" s="27">
        <v>6.7194667934782501E-2</v>
      </c>
      <c r="R59" s="27">
        <v>0.48495964665285446</v>
      </c>
      <c r="S59" s="27">
        <v>5.3969232188832955E-2</v>
      </c>
      <c r="T59" s="27">
        <v>2.8474282918123768</v>
      </c>
      <c r="U59" s="27">
        <v>0.79355787584826687</v>
      </c>
      <c r="V59" s="27">
        <v>5.7881604641949427E-2</v>
      </c>
      <c r="W59" s="27">
        <v>1.0749599826320393</v>
      </c>
    </row>
    <row r="60" spans="1:23" ht="15" customHeight="1" x14ac:dyDescent="0.25">
      <c r="A60" s="3">
        <v>12</v>
      </c>
      <c r="B60" s="4" t="s">
        <v>8</v>
      </c>
      <c r="C60" s="35" t="s">
        <v>9</v>
      </c>
      <c r="D60" s="23" t="s">
        <v>0</v>
      </c>
      <c r="E60" s="6">
        <v>4894</v>
      </c>
      <c r="F60" s="7">
        <v>713</v>
      </c>
      <c r="G60" s="15">
        <v>45283</v>
      </c>
      <c r="H60" s="13">
        <v>20</v>
      </c>
      <c r="I60" s="16">
        <v>29.97</v>
      </c>
      <c r="J60" s="16">
        <v>13.32</v>
      </c>
      <c r="K60" s="16">
        <f t="shared" si="3"/>
        <v>444.44444444444446</v>
      </c>
      <c r="L60" s="24">
        <v>0.56933333333333336</v>
      </c>
      <c r="M60" s="32">
        <v>1.8048170546620934</v>
      </c>
      <c r="N60" s="27">
        <v>521.19670999999994</v>
      </c>
      <c r="O60" s="27">
        <v>12.062939999999999</v>
      </c>
      <c r="P60" s="27">
        <v>0.82856712256177656</v>
      </c>
      <c r="Q60" s="27">
        <v>1.614116365969542E-2</v>
      </c>
      <c r="R60" s="27">
        <v>4.5613781908183162</v>
      </c>
      <c r="S60" s="27">
        <v>4.7234070033405358E-2</v>
      </c>
      <c r="T60" s="27">
        <v>3.7633420068685197</v>
      </c>
      <c r="U60" s="27">
        <v>2.2129816549622912</v>
      </c>
      <c r="V60" s="27">
        <v>4.7647415977878652E-2</v>
      </c>
      <c r="W60" s="27">
        <v>0.6999223603805288</v>
      </c>
    </row>
    <row r="61" spans="1:23" ht="15" customHeight="1" x14ac:dyDescent="0.25">
      <c r="A61" s="11">
        <v>12</v>
      </c>
      <c r="B61" s="4" t="s">
        <v>8</v>
      </c>
      <c r="C61" s="20" t="s">
        <v>9</v>
      </c>
      <c r="D61" s="23" t="s">
        <v>0</v>
      </c>
      <c r="E61" s="23">
        <v>7594</v>
      </c>
      <c r="F61" s="26">
        <v>714</v>
      </c>
      <c r="G61" s="15">
        <v>45283</v>
      </c>
      <c r="H61" s="13">
        <v>20</v>
      </c>
      <c r="I61" s="16">
        <v>34.950000000000003</v>
      </c>
      <c r="J61" s="16">
        <v>15.19</v>
      </c>
      <c r="K61" s="16">
        <f t="shared" si="3"/>
        <v>434.62088698140195</v>
      </c>
      <c r="L61" s="24">
        <v>0.58466666666666667</v>
      </c>
      <c r="M61" s="32">
        <v>1.6459273698086843</v>
      </c>
      <c r="N61" s="27">
        <v>520.02067999999997</v>
      </c>
      <c r="O61" s="27">
        <v>15.244359999999999</v>
      </c>
      <c r="P61" s="27">
        <v>1.0606810810614751</v>
      </c>
      <c r="Q61" s="27">
        <v>3.2561942362806899E-2</v>
      </c>
      <c r="R61" s="27">
        <v>2.8918165898468282</v>
      </c>
      <c r="S61" s="27">
        <v>2.7688392155252206E-2</v>
      </c>
      <c r="T61" s="27">
        <v>5.3347076986564579</v>
      </c>
      <c r="U61" s="27">
        <v>2.0292584171616226</v>
      </c>
      <c r="V61" s="27">
        <v>3.0498732099151854E-2</v>
      </c>
      <c r="W61" s="27">
        <v>0.71251690656074285</v>
      </c>
    </row>
    <row r="62" spans="1:23" ht="15" customHeight="1" x14ac:dyDescent="0.25">
      <c r="A62" s="3">
        <v>12</v>
      </c>
      <c r="B62" s="4" t="s">
        <v>8</v>
      </c>
      <c r="C62" s="35" t="s">
        <v>10</v>
      </c>
      <c r="D62" s="23" t="s">
        <v>1</v>
      </c>
      <c r="E62" s="6"/>
      <c r="F62" s="7">
        <v>721</v>
      </c>
      <c r="G62" s="15">
        <v>45283</v>
      </c>
      <c r="H62" s="13">
        <v>20</v>
      </c>
      <c r="I62" s="16">
        <v>31.83</v>
      </c>
      <c r="J62" s="16">
        <v>13.94</v>
      </c>
      <c r="K62" s="16">
        <f t="shared" si="3"/>
        <v>437.95161797046813</v>
      </c>
      <c r="L62" s="24">
        <v>0.53600000000000003</v>
      </c>
      <c r="M62" s="32">
        <v>1.5729813542248992</v>
      </c>
      <c r="N62" s="27">
        <v>485.13671999999997</v>
      </c>
      <c r="O62" s="27">
        <v>13.67501</v>
      </c>
      <c r="P62" s="27">
        <v>0.48495104548597312</v>
      </c>
      <c r="Q62" s="27">
        <v>7.2026585426369624E-2</v>
      </c>
      <c r="R62" s="27">
        <v>0.66098843292909804</v>
      </c>
      <c r="S62" s="27">
        <v>5.6900676204464748E-2</v>
      </c>
      <c r="T62" s="27">
        <v>3.3887169215692903</v>
      </c>
      <c r="U62" s="27">
        <v>1.4752353082801861</v>
      </c>
      <c r="V62" s="27">
        <v>1.0472238617937942E-2</v>
      </c>
      <c r="W62" s="27">
        <v>0.86234695562764752</v>
      </c>
    </row>
    <row r="63" spans="1:23" ht="15" customHeight="1" x14ac:dyDescent="0.25">
      <c r="A63" s="11">
        <v>12</v>
      </c>
      <c r="B63" s="4" t="s">
        <v>8</v>
      </c>
      <c r="C63" s="20" t="s">
        <v>10</v>
      </c>
      <c r="D63" s="23" t="s">
        <v>1</v>
      </c>
      <c r="E63" s="23"/>
      <c r="F63" s="26">
        <v>729</v>
      </c>
      <c r="G63" s="15">
        <v>45283</v>
      </c>
      <c r="H63" s="13">
        <v>20</v>
      </c>
      <c r="I63" s="16">
        <v>25.17</v>
      </c>
      <c r="J63" s="16">
        <v>12.87</v>
      </c>
      <c r="K63" s="16">
        <f t="shared" si="3"/>
        <v>511.32300357568528</v>
      </c>
      <c r="L63" s="24">
        <v>0.4928333333333334</v>
      </c>
      <c r="M63" s="32">
        <v>1.5424766567989525</v>
      </c>
      <c r="N63" s="27">
        <v>498.80809999999997</v>
      </c>
      <c r="O63" s="27">
        <v>9.7900600000000004</v>
      </c>
      <c r="P63" s="27">
        <v>0.38949309572297747</v>
      </c>
      <c r="Q63" s="27">
        <v>7.8964206680383328E-2</v>
      </c>
      <c r="R63" s="27">
        <v>0.63357665882933289</v>
      </c>
      <c r="S63" s="27">
        <v>5.3614924872940298E-2</v>
      </c>
      <c r="T63" s="27">
        <v>2.6487456293825309</v>
      </c>
      <c r="U63" s="27">
        <v>0.92529299220842165</v>
      </c>
      <c r="V63" s="27">
        <v>0.11711308052489616</v>
      </c>
      <c r="W63" s="27">
        <v>0.82236954012352836</v>
      </c>
    </row>
    <row r="64" spans="1:23" ht="15" customHeight="1" x14ac:dyDescent="0.25">
      <c r="A64" s="3">
        <v>13</v>
      </c>
      <c r="B64" s="3" t="s">
        <v>13</v>
      </c>
      <c r="C64" s="35" t="s">
        <v>9</v>
      </c>
      <c r="D64" s="23" t="s">
        <v>0</v>
      </c>
      <c r="E64" s="6">
        <v>4445</v>
      </c>
      <c r="F64" s="7">
        <v>611</v>
      </c>
      <c r="G64" s="15">
        <v>45286</v>
      </c>
      <c r="H64" s="13">
        <v>20</v>
      </c>
      <c r="I64" s="16">
        <v>33.979999999999997</v>
      </c>
      <c r="J64" s="16">
        <v>15.42</v>
      </c>
      <c r="K64" s="16">
        <f t="shared" ref="K64:K77" si="4">J64/I64*1000</f>
        <v>453.79635079458507</v>
      </c>
      <c r="L64" s="24">
        <v>0.50383333333333324</v>
      </c>
      <c r="M64" s="32">
        <v>1.4819977784240319</v>
      </c>
      <c r="N64" s="27">
        <v>516.94592</v>
      </c>
      <c r="O64" s="27">
        <v>13.33713</v>
      </c>
      <c r="P64" s="27">
        <v>0.67413284412384</v>
      </c>
      <c r="Q64" s="27">
        <v>2.8109981555599146E-2</v>
      </c>
      <c r="R64" s="27">
        <v>4.9841233568780616</v>
      </c>
      <c r="S64" s="27">
        <v>2.8074554228704682E-2</v>
      </c>
      <c r="T64" s="27">
        <v>3.5390329947089638</v>
      </c>
      <c r="U64" s="27">
        <v>4.6278841921501961</v>
      </c>
      <c r="V64" s="27">
        <v>0</v>
      </c>
      <c r="W64" s="27">
        <v>0</v>
      </c>
    </row>
    <row r="65" spans="1:23" ht="15" customHeight="1" x14ac:dyDescent="0.25">
      <c r="A65" s="3">
        <v>13</v>
      </c>
      <c r="B65" s="3" t="s">
        <v>13</v>
      </c>
      <c r="C65" s="35" t="s">
        <v>10</v>
      </c>
      <c r="D65" s="23" t="s">
        <v>1</v>
      </c>
      <c r="E65" s="6"/>
      <c r="F65" s="7">
        <v>627</v>
      </c>
      <c r="G65" s="15">
        <v>45286</v>
      </c>
      <c r="H65" s="13">
        <v>20</v>
      </c>
      <c r="I65" s="16">
        <v>20.399999999999999</v>
      </c>
      <c r="J65" s="16">
        <v>10.8</v>
      </c>
      <c r="K65" s="16">
        <f t="shared" si="4"/>
        <v>529.41176470588243</v>
      </c>
      <c r="L65" s="24">
        <v>0.48849999999999999</v>
      </c>
      <c r="M65" s="32">
        <v>1.3416761702646778</v>
      </c>
      <c r="N65" s="27">
        <v>494.62153999999992</v>
      </c>
      <c r="O65" s="27">
        <v>10.991290000000001</v>
      </c>
      <c r="P65" s="27">
        <v>0.42906150533557519</v>
      </c>
      <c r="Q65" s="27">
        <v>0</v>
      </c>
      <c r="R65" s="27">
        <v>1.2469246703514905</v>
      </c>
      <c r="S65" s="27">
        <v>1.6654647709583543E-2</v>
      </c>
      <c r="T65" s="27">
        <v>3.6562583259167356</v>
      </c>
      <c r="U65" s="27">
        <v>1.4870516102959801</v>
      </c>
      <c r="V65" s="27">
        <v>0</v>
      </c>
      <c r="W65" s="27">
        <v>0.58739035651902571</v>
      </c>
    </row>
    <row r="66" spans="1:23" ht="15" customHeight="1" x14ac:dyDescent="0.25">
      <c r="A66" s="11">
        <v>13</v>
      </c>
      <c r="B66" s="3" t="s">
        <v>13</v>
      </c>
      <c r="C66" s="20" t="s">
        <v>9</v>
      </c>
      <c r="D66" s="23" t="s">
        <v>0</v>
      </c>
      <c r="E66" s="23"/>
      <c r="F66" s="26">
        <v>631</v>
      </c>
      <c r="G66" s="15">
        <v>45286</v>
      </c>
      <c r="H66" s="13">
        <v>20</v>
      </c>
      <c r="I66" s="16">
        <v>40.82</v>
      </c>
      <c r="J66" s="16">
        <v>19.420000000000002</v>
      </c>
      <c r="K66" s="16">
        <f t="shared" si="4"/>
        <v>475.74718275355224</v>
      </c>
      <c r="L66" s="24">
        <v>0.46516666666666667</v>
      </c>
      <c r="M66" s="32">
        <v>1.6350517820307382</v>
      </c>
      <c r="N66" s="27">
        <v>516.24965999999995</v>
      </c>
      <c r="O66" s="27">
        <v>13.54191</v>
      </c>
      <c r="P66" s="27">
        <v>0.60596056650878105</v>
      </c>
      <c r="Q66" s="27">
        <v>0</v>
      </c>
      <c r="R66" s="27">
        <v>2.7523611281764375</v>
      </c>
      <c r="S66" s="27">
        <v>1.8264413610336476E-2</v>
      </c>
      <c r="T66" s="27">
        <v>3.8562050259606817</v>
      </c>
      <c r="U66" s="27">
        <v>1.2607112251558883</v>
      </c>
      <c r="V66" s="27">
        <v>1.1086067696740143E-2</v>
      </c>
      <c r="W66" s="27">
        <v>0.51926604097941564</v>
      </c>
    </row>
    <row r="67" spans="1:23" ht="15" customHeight="1" x14ac:dyDescent="0.25">
      <c r="A67" s="3">
        <v>13</v>
      </c>
      <c r="B67" s="3" t="s">
        <v>13</v>
      </c>
      <c r="C67" s="35" t="s">
        <v>9</v>
      </c>
      <c r="D67" s="23" t="s">
        <v>0</v>
      </c>
      <c r="E67" s="6"/>
      <c r="F67" s="7">
        <v>642</v>
      </c>
      <c r="G67" s="15">
        <v>45286</v>
      </c>
      <c r="H67" s="13">
        <v>20</v>
      </c>
      <c r="I67" s="16">
        <v>28.17</v>
      </c>
      <c r="J67" s="16">
        <v>14.42</v>
      </c>
      <c r="K67" s="16">
        <f t="shared" si="4"/>
        <v>511.89208377706774</v>
      </c>
      <c r="L67" s="24">
        <v>0.50316666666666665</v>
      </c>
      <c r="M67" s="32">
        <v>1.6199320624370079</v>
      </c>
      <c r="N67" s="27">
        <v>522.30460999999991</v>
      </c>
      <c r="O67" s="27">
        <v>13.830270000000001</v>
      </c>
      <c r="P67" s="27">
        <v>0.71295885480143062</v>
      </c>
      <c r="Q67" s="27">
        <v>0</v>
      </c>
      <c r="R67" s="27">
        <v>4.1386725809130107</v>
      </c>
      <c r="S67" s="27">
        <v>1.3349292913165929E-2</v>
      </c>
      <c r="T67" s="27">
        <v>3.5415364215177707</v>
      </c>
      <c r="U67" s="27">
        <v>1.9017832399703898</v>
      </c>
      <c r="V67" s="27">
        <v>0.12464076950075369</v>
      </c>
      <c r="W67" s="27">
        <v>0.75479895908546057</v>
      </c>
    </row>
    <row r="68" spans="1:23" ht="15" customHeight="1" x14ac:dyDescent="0.25">
      <c r="A68" s="11">
        <v>13</v>
      </c>
      <c r="B68" s="3" t="s">
        <v>13</v>
      </c>
      <c r="C68" s="38" t="s">
        <v>10</v>
      </c>
      <c r="D68" s="23" t="s">
        <v>1</v>
      </c>
      <c r="E68" s="23"/>
      <c r="F68" s="26">
        <v>9742</v>
      </c>
      <c r="G68" s="15">
        <v>45288</v>
      </c>
      <c r="H68" s="13">
        <v>20</v>
      </c>
      <c r="I68" s="16">
        <v>20.100000000000001</v>
      </c>
      <c r="J68" s="16">
        <v>9.24</v>
      </c>
      <c r="K68" s="16">
        <f t="shared" si="4"/>
        <v>459.70149253731341</v>
      </c>
      <c r="L68" s="24">
        <v>0.47266666666666662</v>
      </c>
      <c r="M68" s="32">
        <v>1.3743029335985162</v>
      </c>
      <c r="N68" s="27">
        <v>497.32914000000005</v>
      </c>
      <c r="O68" s="27">
        <v>11.3223</v>
      </c>
      <c r="P68" s="27">
        <v>0.46574079829282211</v>
      </c>
      <c r="Q68" s="27">
        <v>1.0439493061837462E-2</v>
      </c>
      <c r="R68" s="27">
        <v>1.0164931158588117</v>
      </c>
      <c r="S68" s="27">
        <v>1.5353436077288118E-2</v>
      </c>
      <c r="T68" s="27">
        <v>3.9451411146739144</v>
      </c>
      <c r="U68" s="27">
        <v>1.3687210446849392</v>
      </c>
      <c r="V68" s="27">
        <v>9.2133007256264929E-2</v>
      </c>
      <c r="W68" s="27">
        <v>0.74099114632419627</v>
      </c>
    </row>
    <row r="69" spans="1:23" ht="15" customHeight="1" x14ac:dyDescent="0.25">
      <c r="A69" s="3">
        <v>14</v>
      </c>
      <c r="B69" s="11" t="s">
        <v>14</v>
      </c>
      <c r="C69" s="35" t="s">
        <v>10</v>
      </c>
      <c r="D69" s="23" t="s">
        <v>1</v>
      </c>
      <c r="E69" s="6"/>
      <c r="F69" s="7">
        <v>659</v>
      </c>
      <c r="G69" s="15">
        <v>45288</v>
      </c>
      <c r="H69" s="13">
        <v>20</v>
      </c>
      <c r="I69" s="16">
        <v>24.14</v>
      </c>
      <c r="J69" s="16">
        <v>11.25</v>
      </c>
      <c r="K69" s="16">
        <f t="shared" si="4"/>
        <v>466.03148301574151</v>
      </c>
      <c r="L69" s="24">
        <v>0.47883333333333339</v>
      </c>
      <c r="M69" s="32">
        <v>1.4329250043040309</v>
      </c>
      <c r="N69" s="27">
        <v>478.92372</v>
      </c>
      <c r="O69" s="27">
        <v>12.416309999999999</v>
      </c>
      <c r="P69" s="27">
        <v>0.57933385174206897</v>
      </c>
      <c r="Q69" s="27">
        <v>0.10488801652421086</v>
      </c>
      <c r="R69" s="27">
        <v>0.9568198217758509</v>
      </c>
      <c r="S69" s="27">
        <v>3.1276095453743567E-2</v>
      </c>
      <c r="T69" s="27">
        <v>2.2829228891836171</v>
      </c>
      <c r="U69" s="27">
        <v>1.3422358345098435</v>
      </c>
      <c r="V69" s="27">
        <v>0</v>
      </c>
      <c r="W69" s="27">
        <v>0</v>
      </c>
    </row>
    <row r="70" spans="1:23" ht="15" customHeight="1" x14ac:dyDescent="0.25">
      <c r="A70" s="4">
        <v>14</v>
      </c>
      <c r="B70" s="11" t="s">
        <v>14</v>
      </c>
      <c r="C70" s="37" t="s">
        <v>10</v>
      </c>
      <c r="D70" s="23" t="s">
        <v>1</v>
      </c>
      <c r="E70" s="6">
        <v>9738</v>
      </c>
      <c r="F70" s="7">
        <v>664</v>
      </c>
      <c r="G70" s="15">
        <v>45288</v>
      </c>
      <c r="H70" s="13">
        <v>20</v>
      </c>
      <c r="I70" s="16">
        <v>18.21</v>
      </c>
      <c r="J70" s="16">
        <v>8.3800000000000008</v>
      </c>
      <c r="K70" s="16">
        <f t="shared" si="4"/>
        <v>460.18671059857223</v>
      </c>
      <c r="L70" s="24">
        <v>0.47983333333333333</v>
      </c>
      <c r="M70" s="32">
        <v>1.3976456585853276</v>
      </c>
      <c r="N70" s="27">
        <v>485.08228000000003</v>
      </c>
      <c r="O70" s="27">
        <v>11.899430000000001</v>
      </c>
      <c r="P70" s="27">
        <v>1.7183249368331868</v>
      </c>
      <c r="Q70" s="27">
        <v>0.13997819780744838</v>
      </c>
      <c r="R70" s="27">
        <v>0.9082398463983633</v>
      </c>
      <c r="S70" s="27">
        <v>5.6755173815428481E-2</v>
      </c>
      <c r="T70" s="27">
        <v>3.263334026849352</v>
      </c>
      <c r="U70" s="27">
        <v>1.2711599354276497</v>
      </c>
      <c r="V70" s="27">
        <v>7.963006005094786E-2</v>
      </c>
      <c r="W70" s="27">
        <v>0.77086571754539313</v>
      </c>
    </row>
    <row r="71" spans="1:23" ht="15" customHeight="1" x14ac:dyDescent="0.25">
      <c r="A71" s="11">
        <v>14</v>
      </c>
      <c r="B71" s="11" t="s">
        <v>14</v>
      </c>
      <c r="C71" s="20" t="s">
        <v>10</v>
      </c>
      <c r="D71" s="23" t="s">
        <v>1</v>
      </c>
      <c r="E71" s="23"/>
      <c r="F71" s="26">
        <v>666</v>
      </c>
      <c r="G71" s="15">
        <v>45288</v>
      </c>
      <c r="H71" s="13">
        <v>20</v>
      </c>
      <c r="I71" s="16">
        <v>13.22</v>
      </c>
      <c r="J71" s="16">
        <v>6.5</v>
      </c>
      <c r="K71" s="16">
        <f t="shared" si="4"/>
        <v>491.67927382753402</v>
      </c>
      <c r="L71" s="24">
        <v>0.45849999999999996</v>
      </c>
      <c r="M71" s="32">
        <v>1.4085212463632737</v>
      </c>
      <c r="N71" s="27">
        <v>479.13670000000008</v>
      </c>
      <c r="O71" s="27">
        <v>11.173329999999998</v>
      </c>
      <c r="P71" s="27">
        <v>0.76004946474224799</v>
      </c>
      <c r="Q71" s="27">
        <v>0</v>
      </c>
      <c r="R71" s="27">
        <v>0.82531099878368186</v>
      </c>
      <c r="S71" s="27">
        <v>5.0513847512322983E-2</v>
      </c>
      <c r="T71" s="27">
        <v>1.9923642000770372</v>
      </c>
      <c r="U71" s="27">
        <v>1.230789349184563</v>
      </c>
      <c r="V71" s="27">
        <v>8.9227988376579956E-2</v>
      </c>
      <c r="W71" s="27">
        <v>0.75540141003846228</v>
      </c>
    </row>
    <row r="72" spans="1:23" ht="15" customHeight="1" x14ac:dyDescent="0.25">
      <c r="A72" s="3">
        <v>14</v>
      </c>
      <c r="B72" s="11" t="s">
        <v>14</v>
      </c>
      <c r="C72" s="35" t="s">
        <v>9</v>
      </c>
      <c r="D72" s="23" t="s">
        <v>0</v>
      </c>
      <c r="E72" s="23">
        <v>6976</v>
      </c>
      <c r="F72" s="7">
        <v>674</v>
      </c>
      <c r="G72" s="15">
        <v>45287</v>
      </c>
      <c r="H72" s="13">
        <v>20</v>
      </c>
      <c r="I72" s="16">
        <v>46.52</v>
      </c>
      <c r="J72" s="16">
        <v>19.96</v>
      </c>
      <c r="K72" s="16">
        <f t="shared" si="4"/>
        <v>429.06276870163367</v>
      </c>
      <c r="L72" s="24">
        <v>0.5635</v>
      </c>
      <c r="M72" s="32">
        <v>1.622584644821873</v>
      </c>
      <c r="N72" s="27">
        <v>514.33613000000003</v>
      </c>
      <c r="O72" s="27">
        <v>15.409559999999999</v>
      </c>
      <c r="P72" s="27">
        <v>1.4455860548893171</v>
      </c>
      <c r="Q72" s="27">
        <v>0</v>
      </c>
      <c r="R72" s="27">
        <v>3.2942730972211609</v>
      </c>
      <c r="S72" s="27">
        <v>3.9484008141003876E-2</v>
      </c>
      <c r="T72" s="27">
        <v>2.8356681780679502</v>
      </c>
      <c r="U72" s="27">
        <v>3.2050281847549229</v>
      </c>
      <c r="V72" s="27">
        <v>0.18358735229403653</v>
      </c>
      <c r="W72" s="27">
        <v>0.79053143948538385</v>
      </c>
    </row>
    <row r="73" spans="1:23" ht="15" customHeight="1" x14ac:dyDescent="0.25">
      <c r="A73" s="4">
        <v>14</v>
      </c>
      <c r="B73" s="11" t="s">
        <v>14</v>
      </c>
      <c r="C73" s="37" t="s">
        <v>10</v>
      </c>
      <c r="D73" s="23" t="s">
        <v>1</v>
      </c>
      <c r="E73" s="6"/>
      <c r="F73" s="7">
        <v>685</v>
      </c>
      <c r="G73" s="15">
        <v>45288</v>
      </c>
      <c r="H73" s="13">
        <v>20</v>
      </c>
      <c r="I73" s="16">
        <v>17.47</v>
      </c>
      <c r="J73" s="16">
        <v>8.14</v>
      </c>
      <c r="K73" s="16">
        <f t="shared" si="4"/>
        <v>465.94161419576426</v>
      </c>
      <c r="L73" s="24">
        <v>0.45466666666666661</v>
      </c>
      <c r="M73" s="32">
        <v>1.3740376753600301</v>
      </c>
      <c r="N73" s="27">
        <v>491.51489000000004</v>
      </c>
      <c r="O73" s="27">
        <v>12.785139999999998</v>
      </c>
      <c r="P73" s="27">
        <v>0.79042048761910466</v>
      </c>
      <c r="Q73" s="27">
        <v>0</v>
      </c>
      <c r="R73" s="27">
        <v>1.0547844210614077</v>
      </c>
      <c r="S73" s="27">
        <v>4.6449825825054213E-2</v>
      </c>
      <c r="T73" s="27">
        <v>3.3180370765832405</v>
      </c>
      <c r="U73" s="27">
        <v>1.3027814531571811</v>
      </c>
      <c r="V73" s="27">
        <v>1.3727270291228567E-2</v>
      </c>
      <c r="W73" s="27">
        <v>0.77794552241096226</v>
      </c>
    </row>
    <row r="74" spans="1:23" ht="15" customHeight="1" x14ac:dyDescent="0.25">
      <c r="A74" s="3">
        <v>14</v>
      </c>
      <c r="B74" s="11" t="s">
        <v>14</v>
      </c>
      <c r="C74" s="35" t="s">
        <v>10</v>
      </c>
      <c r="D74" s="23" t="s">
        <v>1</v>
      </c>
      <c r="E74" s="6"/>
      <c r="F74" s="7">
        <v>693</v>
      </c>
      <c r="G74" s="15">
        <v>45287</v>
      </c>
      <c r="H74" s="13">
        <v>20</v>
      </c>
      <c r="I74" s="16">
        <v>12.39</v>
      </c>
      <c r="J74" s="16">
        <v>5.71</v>
      </c>
      <c r="K74" s="16">
        <f t="shared" si="4"/>
        <v>460.85552865213879</v>
      </c>
      <c r="L74" s="24">
        <v>0.4335</v>
      </c>
      <c r="M74" s="32">
        <v>1.397910916823814</v>
      </c>
      <c r="N74" s="27">
        <v>488.01085999999998</v>
      </c>
      <c r="O74" s="27">
        <v>13.01355</v>
      </c>
      <c r="P74" s="27">
        <v>1.3811351778658048</v>
      </c>
      <c r="Q74" s="27">
        <v>6.4941154124304699E-3</v>
      </c>
      <c r="R74" s="27">
        <v>0.87673283036880179</v>
      </c>
      <c r="S74" s="27">
        <v>4.833415151025218E-2</v>
      </c>
      <c r="T74" s="27">
        <v>3.3472648121982118</v>
      </c>
      <c r="U74" s="27">
        <v>1.5171538323171714</v>
      </c>
      <c r="V74" s="27">
        <v>0</v>
      </c>
      <c r="W74" s="27">
        <v>0.73874634149960039</v>
      </c>
    </row>
    <row r="75" spans="1:23" ht="15" customHeight="1" x14ac:dyDescent="0.25">
      <c r="A75" s="3">
        <v>16</v>
      </c>
      <c r="B75" s="11" t="s">
        <v>12</v>
      </c>
      <c r="C75" s="35" t="s">
        <v>10</v>
      </c>
      <c r="D75" s="23" t="s">
        <v>1</v>
      </c>
      <c r="E75" s="6"/>
      <c r="F75" s="7">
        <v>740</v>
      </c>
      <c r="G75" s="15">
        <v>45288</v>
      </c>
      <c r="H75" s="13">
        <v>20</v>
      </c>
      <c r="I75" s="16">
        <v>18.78</v>
      </c>
      <c r="J75" s="16">
        <v>8.83</v>
      </c>
      <c r="K75" s="16">
        <f t="shared" si="4"/>
        <v>470.18104366347177</v>
      </c>
      <c r="L75" s="24">
        <v>0.46633333333333332</v>
      </c>
      <c r="M75" s="32">
        <v>1.3013569180147311</v>
      </c>
      <c r="N75" s="27">
        <v>492.87997999999999</v>
      </c>
      <c r="O75" s="27">
        <v>7.9773000000000005</v>
      </c>
      <c r="P75" s="27">
        <v>2.4422510079716577</v>
      </c>
      <c r="Q75" s="27">
        <v>0</v>
      </c>
      <c r="R75" s="27">
        <v>1.7450322317035052</v>
      </c>
      <c r="S75" s="27">
        <v>8.9505892744146776E-2</v>
      </c>
      <c r="T75" s="27">
        <v>3.9625809681367903</v>
      </c>
      <c r="U75" s="27">
        <v>1.8806146513111681</v>
      </c>
      <c r="V75" s="27">
        <v>0</v>
      </c>
      <c r="W75" s="27">
        <v>0.51968405938420781</v>
      </c>
    </row>
    <row r="76" spans="1:23" ht="15" customHeight="1" x14ac:dyDescent="0.25">
      <c r="A76" s="11">
        <v>16</v>
      </c>
      <c r="B76" s="11" t="s">
        <v>12</v>
      </c>
      <c r="C76" s="20" t="s">
        <v>10</v>
      </c>
      <c r="D76" s="23" t="s">
        <v>1</v>
      </c>
      <c r="E76" s="23"/>
      <c r="F76" s="26">
        <v>746</v>
      </c>
      <c r="G76" s="15">
        <v>45290</v>
      </c>
      <c r="H76" s="13">
        <v>20</v>
      </c>
      <c r="I76" s="16">
        <v>16.18</v>
      </c>
      <c r="J76" s="16">
        <v>7.73</v>
      </c>
      <c r="K76" s="16">
        <f t="shared" si="4"/>
        <v>477.75030902348578</v>
      </c>
      <c r="L76" s="24">
        <v>0.42333333333333334</v>
      </c>
      <c r="M76" s="32">
        <v>1.3326573901561372</v>
      </c>
      <c r="N76" s="27">
        <v>483.03925000000004</v>
      </c>
      <c r="O76" s="27">
        <v>8.4389300000000009</v>
      </c>
      <c r="P76" s="27">
        <v>2.0035027334913158</v>
      </c>
      <c r="Q76" s="27">
        <v>0</v>
      </c>
      <c r="R76" s="27">
        <v>1.3520130124556025</v>
      </c>
      <c r="S76" s="27">
        <v>6.6891436368059387E-2</v>
      </c>
      <c r="T76" s="27">
        <v>3.4917103836631749</v>
      </c>
      <c r="U76" s="27">
        <v>1.6697600535413595</v>
      </c>
      <c r="V76" s="27">
        <v>0</v>
      </c>
      <c r="W76" s="27">
        <v>0.50188962336462528</v>
      </c>
    </row>
    <row r="77" spans="1:23" ht="15" customHeight="1" x14ac:dyDescent="0.25">
      <c r="A77" s="3">
        <v>16</v>
      </c>
      <c r="B77" s="11" t="s">
        <v>12</v>
      </c>
      <c r="C77" s="35" t="s">
        <v>9</v>
      </c>
      <c r="D77" s="23" t="s">
        <v>0</v>
      </c>
      <c r="E77" s="6"/>
      <c r="F77" s="7">
        <v>755</v>
      </c>
      <c r="G77" s="15">
        <v>45288</v>
      </c>
      <c r="H77" s="13">
        <v>20</v>
      </c>
      <c r="I77" s="16">
        <v>30.03</v>
      </c>
      <c r="J77" s="16">
        <v>13.53</v>
      </c>
      <c r="K77" s="16">
        <f t="shared" si="4"/>
        <v>450.54945054945051</v>
      </c>
      <c r="L77" s="24">
        <v>0.57333333333333325</v>
      </c>
      <c r="M77" s="32">
        <v>1.6472536610011168</v>
      </c>
      <c r="N77" s="27">
        <v>502.70499999999998</v>
      </c>
      <c r="O77" s="27">
        <v>15.651660000000001</v>
      </c>
      <c r="P77" s="27">
        <v>1.1722875622387794</v>
      </c>
      <c r="Q77" s="27">
        <v>0</v>
      </c>
      <c r="R77" s="27">
        <v>5.9943738052389852</v>
      </c>
      <c r="S77" s="27">
        <v>4.2374788930046203E-2</v>
      </c>
      <c r="T77" s="27">
        <v>5.1843611414271242</v>
      </c>
      <c r="U77" s="27">
        <v>2.6439861288090887</v>
      </c>
      <c r="V77" s="27">
        <v>0</v>
      </c>
      <c r="W77" s="27">
        <v>0.66859423229833526</v>
      </c>
    </row>
    <row r="78" spans="1:23" ht="15" customHeight="1" x14ac:dyDescent="0.25">
      <c r="A78" s="4">
        <v>16</v>
      </c>
      <c r="B78" s="11" t="s">
        <v>12</v>
      </c>
      <c r="C78" s="37" t="s">
        <v>9</v>
      </c>
      <c r="D78" s="23" t="s">
        <v>0</v>
      </c>
      <c r="E78" s="6"/>
      <c r="F78" s="7">
        <v>763</v>
      </c>
      <c r="G78" s="15">
        <v>45288</v>
      </c>
      <c r="H78" s="13">
        <v>20</v>
      </c>
      <c r="I78" s="16">
        <v>40.6</v>
      </c>
      <c r="J78" s="16">
        <v>16.71</v>
      </c>
      <c r="K78" s="16">
        <f t="shared" ref="K78:K94" si="5">J78/I78*1000</f>
        <v>411.57635467980299</v>
      </c>
      <c r="L78" s="24">
        <v>0.51316666666666666</v>
      </c>
      <c r="M78" s="32">
        <v>1.7480517916259839</v>
      </c>
      <c r="N78" s="27">
        <v>478.98444999999998</v>
      </c>
      <c r="O78" s="27">
        <v>9.2503700000000002</v>
      </c>
      <c r="P78" s="27">
        <v>0.49761906197574263</v>
      </c>
      <c r="Q78" s="27">
        <v>0</v>
      </c>
      <c r="R78" s="27">
        <v>1.2533398396785389</v>
      </c>
      <c r="S78" s="27">
        <v>5.4982897863123943E-2</v>
      </c>
      <c r="T78" s="27">
        <v>3.9142951418984944</v>
      </c>
      <c r="U78" s="27">
        <v>0.92237872486195349</v>
      </c>
      <c r="V78" s="27">
        <v>0</v>
      </c>
      <c r="W78" s="27">
        <v>0.5161964358633585</v>
      </c>
    </row>
    <row r="79" spans="1:23" ht="15" customHeight="1" x14ac:dyDescent="0.25">
      <c r="A79" s="11">
        <v>16</v>
      </c>
      <c r="B79" s="11" t="s">
        <v>12</v>
      </c>
      <c r="C79" s="20" t="s">
        <v>10</v>
      </c>
      <c r="D79" s="23" t="s">
        <v>1</v>
      </c>
      <c r="E79" s="23"/>
      <c r="F79" s="26">
        <v>764</v>
      </c>
      <c r="G79" s="15">
        <v>45288</v>
      </c>
      <c r="H79" s="13">
        <v>20</v>
      </c>
      <c r="I79" s="16">
        <v>21.27</v>
      </c>
      <c r="J79" s="16">
        <v>9.8699999999999992</v>
      </c>
      <c r="K79" s="16">
        <f t="shared" si="5"/>
        <v>464.03385049365295</v>
      </c>
      <c r="L79" s="24">
        <v>0.4948333333333334</v>
      </c>
      <c r="M79" s="32">
        <v>1.3138240552235962</v>
      </c>
      <c r="N79" s="27">
        <v>480.75062000000003</v>
      </c>
      <c r="O79" s="27">
        <v>9.7292100000000001</v>
      </c>
      <c r="P79" s="27">
        <v>1.128182611778521</v>
      </c>
      <c r="Q79" s="27">
        <v>0</v>
      </c>
      <c r="R79" s="27">
        <v>0.96214432999140664</v>
      </c>
      <c r="S79" s="27">
        <v>6.8810781563414511E-2</v>
      </c>
      <c r="T79" s="27">
        <v>3.2519750989708514</v>
      </c>
      <c r="U79" s="27">
        <v>0.9228893966951478</v>
      </c>
      <c r="V79" s="27">
        <v>0</v>
      </c>
      <c r="W79" s="27">
        <v>0.63599797304952554</v>
      </c>
    </row>
    <row r="80" spans="1:23" ht="15" customHeight="1" x14ac:dyDescent="0.25">
      <c r="A80" s="3">
        <v>16</v>
      </c>
      <c r="B80" s="11" t="s">
        <v>12</v>
      </c>
      <c r="C80" s="35" t="s">
        <v>10</v>
      </c>
      <c r="D80" s="23" t="s">
        <v>1</v>
      </c>
      <c r="E80" s="6"/>
      <c r="F80" s="7">
        <v>768</v>
      </c>
      <c r="G80" s="15">
        <v>45288</v>
      </c>
      <c r="H80" s="13">
        <v>20</v>
      </c>
      <c r="I80" s="16">
        <v>28.94</v>
      </c>
      <c r="J80" s="16">
        <v>13.99</v>
      </c>
      <c r="K80" s="16">
        <f t="shared" si="5"/>
        <v>483.4139599170698</v>
      </c>
      <c r="L80" s="24">
        <v>0.4988333333333333</v>
      </c>
      <c r="M80" s="32">
        <v>1.3689977688287864</v>
      </c>
      <c r="N80" s="27">
        <v>500.81367</v>
      </c>
      <c r="O80" s="27">
        <v>11.755660000000001</v>
      </c>
      <c r="P80" s="27">
        <v>0.44245497121598698</v>
      </c>
      <c r="Q80" s="27">
        <v>0</v>
      </c>
      <c r="R80" s="27">
        <v>4.8634069776585749</v>
      </c>
      <c r="S80" s="27">
        <v>6.537201547309944E-2</v>
      </c>
      <c r="T80" s="27">
        <v>14.694977514123831</v>
      </c>
      <c r="U80" s="27">
        <v>2.0410134789786283</v>
      </c>
      <c r="V80" s="27">
        <v>0</v>
      </c>
      <c r="W80" s="27">
        <v>0.72542985723080833</v>
      </c>
    </row>
    <row r="81" spans="1:23" ht="15" customHeight="1" x14ac:dyDescent="0.25">
      <c r="A81" s="3">
        <v>17</v>
      </c>
      <c r="B81" s="11" t="s">
        <v>8</v>
      </c>
      <c r="C81" s="35" t="s">
        <v>9</v>
      </c>
      <c r="D81" s="23" t="s">
        <v>0</v>
      </c>
      <c r="E81" s="6"/>
      <c r="F81" s="7">
        <v>881</v>
      </c>
      <c r="G81" s="15">
        <v>45290</v>
      </c>
      <c r="H81" s="13">
        <v>20</v>
      </c>
      <c r="I81" s="16">
        <v>31.84</v>
      </c>
      <c r="J81" s="16">
        <v>13.85</v>
      </c>
      <c r="K81" s="16">
        <f t="shared" si="5"/>
        <v>434.98743718592965</v>
      </c>
      <c r="L81" s="24">
        <v>0.626</v>
      </c>
      <c r="M81" s="32">
        <v>1.8008381810847958</v>
      </c>
      <c r="N81" s="27">
        <v>514.10529999999994</v>
      </c>
      <c r="O81" s="27">
        <v>11.909279999999999</v>
      </c>
      <c r="P81" s="27">
        <v>0.75118203686105922</v>
      </c>
      <c r="Q81" s="27">
        <v>3.5356339725455127E-2</v>
      </c>
      <c r="R81" s="27">
        <v>5.5591575907543476</v>
      </c>
      <c r="S81" s="27">
        <v>3.404418706467198E-2</v>
      </c>
      <c r="T81" s="27">
        <v>4.3866802616894605</v>
      </c>
      <c r="U81" s="27">
        <v>1.951641594313444</v>
      </c>
      <c r="V81" s="27">
        <v>0.13201765114459091</v>
      </c>
      <c r="W81" s="27">
        <v>0.81765344957248842</v>
      </c>
    </row>
    <row r="82" spans="1:23" ht="15" customHeight="1" x14ac:dyDescent="0.25">
      <c r="A82" s="4">
        <v>17</v>
      </c>
      <c r="B82" s="11" t="s">
        <v>8</v>
      </c>
      <c r="C82" s="37" t="s">
        <v>9</v>
      </c>
      <c r="D82" s="23" t="s">
        <v>0</v>
      </c>
      <c r="E82" s="6">
        <v>4932</v>
      </c>
      <c r="F82" s="7">
        <v>882</v>
      </c>
      <c r="G82" s="15">
        <v>45290</v>
      </c>
      <c r="H82" s="13">
        <v>20</v>
      </c>
      <c r="I82" s="16">
        <v>44.48</v>
      </c>
      <c r="J82" s="16">
        <v>18.829999999999998</v>
      </c>
      <c r="K82" s="16">
        <f t="shared" si="5"/>
        <v>423.33633093525179</v>
      </c>
      <c r="L82" s="24">
        <v>0.5528333333333334</v>
      </c>
      <c r="M82" s="32">
        <v>1.6294813590225219</v>
      </c>
      <c r="N82" s="27">
        <v>484.54681000000005</v>
      </c>
      <c r="O82" s="27">
        <v>12.853900000000001</v>
      </c>
      <c r="P82" s="27">
        <v>0.62996643536925445</v>
      </c>
      <c r="Q82" s="27">
        <v>5.3538279092846972</v>
      </c>
      <c r="R82" s="27">
        <v>1.6711532051911702</v>
      </c>
      <c r="S82" s="27">
        <v>4.5936219968964666E-2</v>
      </c>
      <c r="T82" s="27">
        <v>8.5758837687889216</v>
      </c>
      <c r="U82" s="27">
        <v>2.8033842021254491</v>
      </c>
      <c r="V82" s="27">
        <v>7.0902549584492075E-2</v>
      </c>
      <c r="W82" s="27">
        <v>0.94084539623400698</v>
      </c>
    </row>
    <row r="83" spans="1:23" ht="15" customHeight="1" x14ac:dyDescent="0.25">
      <c r="A83" s="4">
        <v>17</v>
      </c>
      <c r="B83" s="11" t="s">
        <v>8</v>
      </c>
      <c r="C83" s="37" t="s">
        <v>9</v>
      </c>
      <c r="D83" s="23" t="s">
        <v>0</v>
      </c>
      <c r="E83" s="6">
        <v>7645</v>
      </c>
      <c r="F83" s="7">
        <v>889</v>
      </c>
      <c r="G83" s="15">
        <v>45290</v>
      </c>
      <c r="H83" s="13">
        <v>20</v>
      </c>
      <c r="I83" s="16">
        <v>52.58</v>
      </c>
      <c r="J83" s="16">
        <v>23.72</v>
      </c>
      <c r="K83" s="16">
        <f t="shared" si="5"/>
        <v>451.12209965766448</v>
      </c>
      <c r="L83" s="24">
        <v>0.58350000000000002</v>
      </c>
      <c r="M83" s="32">
        <v>1.6825330067198203</v>
      </c>
      <c r="N83" s="27">
        <v>501.49703999999997</v>
      </c>
      <c r="O83" s="27">
        <v>10.420119999999999</v>
      </c>
      <c r="P83" s="27">
        <v>0.61258978053325874</v>
      </c>
      <c r="Q83" s="27">
        <v>6.4322207258186437E-2</v>
      </c>
      <c r="R83" s="27">
        <v>10.768010860691396</v>
      </c>
      <c r="S83" s="27">
        <v>2.9267627783012555E-2</v>
      </c>
      <c r="T83" s="27">
        <v>3.5183066482733909</v>
      </c>
      <c r="U83" s="27">
        <v>3.7423397421012132</v>
      </c>
      <c r="V83" s="27">
        <v>8.1218154323550243E-2</v>
      </c>
      <c r="W83" s="27">
        <v>0.60015109924284338</v>
      </c>
    </row>
    <row r="84" spans="1:23" ht="15" customHeight="1" x14ac:dyDescent="0.25">
      <c r="A84" s="3">
        <v>17</v>
      </c>
      <c r="B84" s="11" t="s">
        <v>8</v>
      </c>
      <c r="C84" s="35" t="s">
        <v>10</v>
      </c>
      <c r="D84" s="23" t="s">
        <v>1</v>
      </c>
      <c r="E84" s="6"/>
      <c r="F84" s="7">
        <v>902</v>
      </c>
      <c r="G84" s="15">
        <v>45290</v>
      </c>
      <c r="H84" s="13">
        <v>20</v>
      </c>
      <c r="I84" s="16">
        <v>21.33</v>
      </c>
      <c r="J84" s="16">
        <v>11.39</v>
      </c>
      <c r="K84" s="16">
        <f t="shared" si="5"/>
        <v>533.98968588842013</v>
      </c>
      <c r="L84" s="24">
        <v>0.46516666666666667</v>
      </c>
      <c r="M84" s="32">
        <v>1.3260259341939744</v>
      </c>
      <c r="N84" s="27">
        <v>516.56860000000006</v>
      </c>
      <c r="O84" s="27">
        <v>28.829940000000001</v>
      </c>
      <c r="P84" s="27">
        <v>1.0342932202057775</v>
      </c>
      <c r="Q84" s="27">
        <v>1.3120570388700042E-2</v>
      </c>
      <c r="R84" s="27">
        <v>3.1888528196591239</v>
      </c>
      <c r="S84" s="27">
        <v>9.9159337200669634E-2</v>
      </c>
      <c r="T84" s="27">
        <v>6.17453306928694</v>
      </c>
      <c r="U84" s="27">
        <v>2.6051352086439015</v>
      </c>
      <c r="V84" s="27">
        <v>0.20397627705123747</v>
      </c>
      <c r="W84" s="27">
        <v>2.2789143560634089</v>
      </c>
    </row>
    <row r="85" spans="1:23" ht="15" customHeight="1" x14ac:dyDescent="0.25">
      <c r="A85" s="12">
        <v>17</v>
      </c>
      <c r="B85" s="11" t="s">
        <v>8</v>
      </c>
      <c r="C85" s="34" t="s">
        <v>10</v>
      </c>
      <c r="D85" s="23" t="s">
        <v>1</v>
      </c>
      <c r="E85" s="23"/>
      <c r="F85" s="26">
        <v>4933</v>
      </c>
      <c r="G85" s="15">
        <v>45294</v>
      </c>
      <c r="H85" s="13">
        <v>20</v>
      </c>
      <c r="I85" s="16">
        <v>17.09</v>
      </c>
      <c r="J85" s="16">
        <v>8.77</v>
      </c>
      <c r="K85" s="16">
        <f t="shared" si="5"/>
        <v>513.16559391456997</v>
      </c>
      <c r="L85" s="24">
        <v>0.46266666666666662</v>
      </c>
      <c r="M85" s="32">
        <v>1.5241738383433847</v>
      </c>
      <c r="N85" s="27">
        <v>498.50624000000005</v>
      </c>
      <c r="O85" s="27">
        <v>10.546279999999999</v>
      </c>
      <c r="P85" s="27">
        <v>0.42316206951753421</v>
      </c>
      <c r="Q85" s="27">
        <v>7.7413465076342294E-2</v>
      </c>
      <c r="R85" s="27">
        <v>0.8864310941421033</v>
      </c>
      <c r="S85" s="27">
        <v>4.7952576796205883E-2</v>
      </c>
      <c r="T85" s="27">
        <v>3.4573355778358814</v>
      </c>
      <c r="U85" s="27">
        <v>0.66432459277088485</v>
      </c>
      <c r="V85" s="27">
        <v>0</v>
      </c>
      <c r="W85" s="27">
        <v>0.46010346073571751</v>
      </c>
    </row>
    <row r="86" spans="1:23" ht="15" customHeight="1" x14ac:dyDescent="0.25">
      <c r="A86" s="4">
        <v>17</v>
      </c>
      <c r="B86" s="11" t="s">
        <v>8</v>
      </c>
      <c r="C86" s="20" t="s">
        <v>10</v>
      </c>
      <c r="D86" s="23" t="s">
        <v>1</v>
      </c>
      <c r="E86" s="6"/>
      <c r="F86" s="7">
        <v>8954</v>
      </c>
      <c r="G86" s="15">
        <v>45290</v>
      </c>
      <c r="H86" s="13">
        <v>20</v>
      </c>
      <c r="I86" s="16">
        <v>37.94</v>
      </c>
      <c r="J86" s="16">
        <v>17.75</v>
      </c>
      <c r="K86" s="16">
        <f t="shared" si="5"/>
        <v>467.84396415392729</v>
      </c>
      <c r="L86" s="24">
        <v>0.40433333333333327</v>
      </c>
      <c r="M86" s="32">
        <v>1.2981738191528929</v>
      </c>
      <c r="N86" s="27">
        <v>503.96010999999999</v>
      </c>
      <c r="O86" s="27">
        <v>10.548990000000002</v>
      </c>
      <c r="P86" s="27">
        <v>0.435002842237245</v>
      </c>
      <c r="Q86" s="27">
        <v>2.1517719853094721E-2</v>
      </c>
      <c r="R86" s="27">
        <v>1.7350478383997976</v>
      </c>
      <c r="S86" s="27">
        <v>5.5468875293054366E-2</v>
      </c>
      <c r="T86" s="27">
        <v>3.2479710009578486</v>
      </c>
      <c r="U86" s="27">
        <v>1.0757993122864704</v>
      </c>
      <c r="V86" s="27">
        <v>0</v>
      </c>
      <c r="W86" s="27">
        <v>0.47255541116350408</v>
      </c>
    </row>
    <row r="87" spans="1:23" ht="15" customHeight="1" x14ac:dyDescent="0.25">
      <c r="A87" s="4">
        <v>18</v>
      </c>
      <c r="B87" s="4" t="s">
        <v>14</v>
      </c>
      <c r="C87" s="37" t="s">
        <v>10</v>
      </c>
      <c r="D87" s="23" t="s">
        <v>1</v>
      </c>
      <c r="E87" s="6">
        <v>5880</v>
      </c>
      <c r="F87" s="7">
        <v>812</v>
      </c>
      <c r="G87" s="15">
        <v>45294</v>
      </c>
      <c r="H87" s="13">
        <v>20</v>
      </c>
      <c r="I87" s="16">
        <v>22.13</v>
      </c>
      <c r="J87" s="16">
        <v>10.47</v>
      </c>
      <c r="K87" s="16">
        <f t="shared" si="5"/>
        <v>473.11342069588795</v>
      </c>
      <c r="L87" s="24">
        <v>0.47949999999999998</v>
      </c>
      <c r="M87" s="32">
        <v>1.4430048173665178</v>
      </c>
      <c r="N87" s="27">
        <v>497.44934000000001</v>
      </c>
      <c r="O87" s="27">
        <v>11.701919999999999</v>
      </c>
      <c r="P87" s="27">
        <v>0.94133675406508144</v>
      </c>
      <c r="Q87" s="27">
        <v>0.13487278137952205</v>
      </c>
      <c r="R87" s="27">
        <v>1.180596238143395</v>
      </c>
      <c r="S87" s="27">
        <v>5.0641519445968328E-2</v>
      </c>
      <c r="T87" s="27">
        <v>3.3503193373694287</v>
      </c>
      <c r="U87" s="27">
        <v>1.6266851769128809</v>
      </c>
      <c r="V87" s="27">
        <v>0</v>
      </c>
      <c r="W87" s="27">
        <v>0.2738123257047933</v>
      </c>
    </row>
    <row r="88" spans="1:23" ht="15" customHeight="1" x14ac:dyDescent="0.25">
      <c r="A88" s="11">
        <v>18</v>
      </c>
      <c r="B88" s="4" t="s">
        <v>14</v>
      </c>
      <c r="C88" s="20" t="s">
        <v>10</v>
      </c>
      <c r="D88" s="23" t="s">
        <v>1</v>
      </c>
      <c r="E88" s="23"/>
      <c r="F88" s="26">
        <v>816</v>
      </c>
      <c r="G88" s="15">
        <v>45296</v>
      </c>
      <c r="H88" s="13">
        <v>20</v>
      </c>
      <c r="I88" s="16">
        <v>23.72</v>
      </c>
      <c r="J88" s="16">
        <v>12.09</v>
      </c>
      <c r="K88" s="16">
        <f t="shared" si="5"/>
        <v>509.69645868465432</v>
      </c>
      <c r="L88" s="24">
        <v>0.48699999999999993</v>
      </c>
      <c r="M88" s="32">
        <v>1.4390259437892203</v>
      </c>
      <c r="N88" s="27">
        <v>499.82368000000002</v>
      </c>
      <c r="O88" s="27">
        <v>10.852690000000001</v>
      </c>
      <c r="P88" s="27">
        <v>0.54538091053108839</v>
      </c>
      <c r="Q88" s="27">
        <v>6.7755572560547039E-2</v>
      </c>
      <c r="R88" s="27">
        <v>0.8484582214873132</v>
      </c>
      <c r="S88" s="27">
        <v>5.4013432419926038E-2</v>
      </c>
      <c r="T88" s="27">
        <v>2.7126253073012587</v>
      </c>
      <c r="U88" s="27">
        <v>1.566853062813601</v>
      </c>
      <c r="V88" s="27">
        <v>0</v>
      </c>
      <c r="W88" s="27">
        <v>4.3087054495614536</v>
      </c>
    </row>
    <row r="89" spans="1:23" ht="15" customHeight="1" x14ac:dyDescent="0.25">
      <c r="A89" s="3">
        <v>18</v>
      </c>
      <c r="B89" s="4" t="s">
        <v>14</v>
      </c>
      <c r="C89" s="35" t="s">
        <v>9</v>
      </c>
      <c r="D89" s="23" t="s">
        <v>0</v>
      </c>
      <c r="E89" s="23">
        <v>4940</v>
      </c>
      <c r="F89" s="7">
        <v>829</v>
      </c>
      <c r="G89" s="15">
        <v>45294</v>
      </c>
      <c r="H89" s="13">
        <v>20</v>
      </c>
      <c r="I89" s="16">
        <v>33.450000000000003</v>
      </c>
      <c r="J89" s="16">
        <v>15.95</v>
      </c>
      <c r="K89" s="16">
        <f t="shared" si="5"/>
        <v>476.83109118086691</v>
      </c>
      <c r="L89" s="24">
        <v>0.48566666666666664</v>
      </c>
      <c r="M89" s="32">
        <v>1.5199297065276007</v>
      </c>
      <c r="N89" s="27">
        <v>527.19353000000001</v>
      </c>
      <c r="O89" s="27">
        <v>15.591090000000001</v>
      </c>
      <c r="P89" s="27">
        <v>1.1704215994848766</v>
      </c>
      <c r="Q89" s="27">
        <v>0</v>
      </c>
      <c r="R89" s="27">
        <v>4.7704662988564808</v>
      </c>
      <c r="S89" s="27">
        <v>4.4285751868637258E-2</v>
      </c>
      <c r="T89" s="27">
        <v>2.9288662936960881</v>
      </c>
      <c r="U89" s="27">
        <v>2.4338824432593373</v>
      </c>
      <c r="V89" s="27">
        <v>0</v>
      </c>
      <c r="W89" s="27">
        <v>0.32205711472061704</v>
      </c>
    </row>
    <row r="90" spans="1:23" ht="15" customHeight="1" x14ac:dyDescent="0.25">
      <c r="A90" s="11">
        <v>18</v>
      </c>
      <c r="B90" s="4" t="s">
        <v>14</v>
      </c>
      <c r="C90" s="20" t="s">
        <v>10</v>
      </c>
      <c r="D90" s="23" t="s">
        <v>1</v>
      </c>
      <c r="E90" s="23"/>
      <c r="F90" s="5">
        <v>7578</v>
      </c>
      <c r="G90" s="15">
        <v>45294</v>
      </c>
      <c r="H90" s="13">
        <v>20</v>
      </c>
      <c r="I90" s="16">
        <v>20.27</v>
      </c>
      <c r="J90" s="16">
        <v>9.94</v>
      </c>
      <c r="K90" s="16">
        <f t="shared" si="5"/>
        <v>490.37987173162304</v>
      </c>
      <c r="L90" s="24">
        <v>0.45800000000000002</v>
      </c>
      <c r="M90" s="32">
        <v>1.4835893278549512</v>
      </c>
      <c r="N90" s="27">
        <v>497.41798</v>
      </c>
      <c r="O90" s="27">
        <v>12.31141</v>
      </c>
      <c r="P90" s="27">
        <v>0.75355002019089568</v>
      </c>
      <c r="Q90" s="27">
        <v>0</v>
      </c>
      <c r="R90" s="27">
        <v>0.91089225182615319</v>
      </c>
      <c r="S90" s="27">
        <v>7.075198559816534E-2</v>
      </c>
      <c r="T90" s="27">
        <v>3.492996381930384</v>
      </c>
      <c r="U90" s="27">
        <v>0.68415421651038144</v>
      </c>
      <c r="V90" s="27">
        <v>0</v>
      </c>
      <c r="W90" s="27">
        <v>0.27510476713466725</v>
      </c>
    </row>
    <row r="91" spans="1:23" ht="15" customHeight="1" x14ac:dyDescent="0.25">
      <c r="A91" s="4">
        <v>19</v>
      </c>
      <c r="B91" s="11" t="s">
        <v>13</v>
      </c>
      <c r="C91" s="37" t="s">
        <v>10</v>
      </c>
      <c r="D91" s="23" t="s">
        <v>1</v>
      </c>
      <c r="E91" s="6">
        <v>4952</v>
      </c>
      <c r="F91" s="7">
        <v>793</v>
      </c>
      <c r="G91" s="15">
        <v>45297</v>
      </c>
      <c r="H91" s="13">
        <v>20</v>
      </c>
      <c r="I91" s="16">
        <v>23.75</v>
      </c>
      <c r="J91" s="16">
        <v>11.34</v>
      </c>
      <c r="K91" s="16">
        <f t="shared" si="5"/>
        <v>477.4736842105263</v>
      </c>
      <c r="L91" s="24">
        <v>0.48</v>
      </c>
      <c r="M91" s="32">
        <v>1.3923404938155977</v>
      </c>
      <c r="N91" s="27">
        <v>502.46380000000005</v>
      </c>
      <c r="O91" s="27">
        <v>12.837449999999999</v>
      </c>
      <c r="P91" s="27">
        <v>0.45385098210732749</v>
      </c>
      <c r="Q91" s="27">
        <v>0</v>
      </c>
      <c r="R91" s="27">
        <v>0.64499447894842166</v>
      </c>
      <c r="S91" s="27">
        <v>2.9185750041460744E-2</v>
      </c>
      <c r="T91" s="27">
        <v>4.5643214980846913</v>
      </c>
      <c r="U91" s="27">
        <v>1.0027229619476443</v>
      </c>
      <c r="V91" s="27">
        <v>4.0131382200363497E-2</v>
      </c>
      <c r="W91" s="27">
        <v>0.79425376288512939</v>
      </c>
    </row>
    <row r="92" spans="1:23" ht="15" customHeight="1" x14ac:dyDescent="0.25">
      <c r="A92" s="3">
        <v>19</v>
      </c>
      <c r="B92" s="11" t="s">
        <v>13</v>
      </c>
      <c r="C92" s="35" t="s">
        <v>9</v>
      </c>
      <c r="D92" s="23" t="s">
        <v>0</v>
      </c>
      <c r="E92" s="23">
        <v>4955</v>
      </c>
      <c r="F92" s="7">
        <v>794</v>
      </c>
      <c r="G92" s="15">
        <v>45296</v>
      </c>
      <c r="H92" s="13">
        <v>20</v>
      </c>
      <c r="I92" s="16">
        <v>22.76</v>
      </c>
      <c r="J92" s="16">
        <v>10.17</v>
      </c>
      <c r="K92" s="16">
        <f t="shared" si="5"/>
        <v>446.83655536028118</v>
      </c>
      <c r="L92" s="24">
        <v>0.56883333333333341</v>
      </c>
      <c r="M92" s="32">
        <v>1.7875752691604714</v>
      </c>
      <c r="N92" s="27">
        <v>524.54169999999999</v>
      </c>
      <c r="O92" s="27">
        <v>15.608079999999999</v>
      </c>
      <c r="P92" s="27">
        <v>0.73659820388305031</v>
      </c>
      <c r="Q92" s="27">
        <v>0</v>
      </c>
      <c r="R92" s="27">
        <v>3.9474484712723497</v>
      </c>
      <c r="S92" s="27">
        <v>2.6316357016467985E-2</v>
      </c>
      <c r="T92" s="27">
        <v>6.3142370612553274</v>
      </c>
      <c r="U92" s="27">
        <v>1.6877890003654648</v>
      </c>
      <c r="V92" s="27">
        <v>0.15407355477646184</v>
      </c>
      <c r="W92" s="27">
        <v>0.81894193074141963</v>
      </c>
    </row>
    <row r="93" spans="1:23" ht="15" customHeight="1" x14ac:dyDescent="0.25">
      <c r="A93" s="11">
        <v>19</v>
      </c>
      <c r="B93" s="11" t="s">
        <v>13</v>
      </c>
      <c r="C93" s="20" t="s">
        <v>10</v>
      </c>
      <c r="D93" s="23" t="s">
        <v>1</v>
      </c>
      <c r="E93" s="23"/>
      <c r="F93" s="26">
        <v>795</v>
      </c>
      <c r="G93" s="15">
        <v>45297</v>
      </c>
      <c r="H93" s="13">
        <v>20</v>
      </c>
      <c r="I93" s="16">
        <v>21.26</v>
      </c>
      <c r="J93" s="16">
        <v>10.67</v>
      </c>
      <c r="K93" s="16">
        <f t="shared" si="5"/>
        <v>501.88146754468477</v>
      </c>
      <c r="L93" s="24">
        <v>0.47449999999999992</v>
      </c>
      <c r="M93" s="32">
        <v>1.3732419006445702</v>
      </c>
      <c r="N93" s="27">
        <v>501.64886000000007</v>
      </c>
      <c r="O93" s="27">
        <v>11.837940000000001</v>
      </c>
      <c r="P93" s="27">
        <v>0.39494399378970024</v>
      </c>
      <c r="Q93" s="27">
        <v>0</v>
      </c>
      <c r="R93" s="27">
        <v>0.59773040009628187</v>
      </c>
      <c r="S93" s="27">
        <v>4.0156782830422129E-2</v>
      </c>
      <c r="T93" s="27">
        <v>3.8796790720398611</v>
      </c>
      <c r="U93" s="27">
        <v>1.0806369636429363</v>
      </c>
      <c r="V93" s="27">
        <v>7.5892213728818658E-2</v>
      </c>
      <c r="W93" s="27">
        <v>0.88961263793631462</v>
      </c>
    </row>
    <row r="94" spans="1:23" ht="15" customHeight="1" x14ac:dyDescent="0.25">
      <c r="A94" s="3">
        <v>19</v>
      </c>
      <c r="B94" s="11" t="s">
        <v>13</v>
      </c>
      <c r="C94" s="35" t="s">
        <v>10</v>
      </c>
      <c r="D94" s="23" t="s">
        <v>1</v>
      </c>
      <c r="E94" s="6"/>
      <c r="F94" s="7">
        <v>798</v>
      </c>
      <c r="G94" s="15">
        <v>45297</v>
      </c>
      <c r="H94" s="13">
        <v>20</v>
      </c>
      <c r="I94" s="16">
        <v>20.95</v>
      </c>
      <c r="J94" s="16">
        <v>11.23</v>
      </c>
      <c r="K94" s="16">
        <f t="shared" si="5"/>
        <v>536.038186157518</v>
      </c>
      <c r="L94" s="24">
        <v>0.46116666666666667</v>
      </c>
      <c r="M94" s="32">
        <v>1.2878287478519199</v>
      </c>
      <c r="N94" s="27">
        <v>503.28930000000003</v>
      </c>
      <c r="O94" s="27">
        <v>12.237940000000002</v>
      </c>
      <c r="P94" s="27">
        <v>0.39355299933867161</v>
      </c>
      <c r="Q94" s="27">
        <v>4.5428346180792799E-2</v>
      </c>
      <c r="R94" s="27">
        <v>0.63968134587988124</v>
      </c>
      <c r="S94" s="27">
        <v>6.9280164905773392E-2</v>
      </c>
      <c r="T94" s="27">
        <v>4.2267172700232312</v>
      </c>
      <c r="U94" s="27">
        <v>0.72163573263720604</v>
      </c>
      <c r="V94" s="27">
        <v>0</v>
      </c>
      <c r="W94" s="27">
        <v>0.92661537699513896</v>
      </c>
    </row>
  </sheetData>
  <sortState xmlns:xlrd2="http://schemas.microsoft.com/office/spreadsheetml/2017/richdata2" ref="A2:AE96">
    <sortCondition ref="A2:A96"/>
    <sortCondition ref="F2:F96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LeafTraits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Homeier, Juergen</dc:creator>
  <cp:lastModifiedBy>Homeier, Juergen</cp:lastModifiedBy>
  <dcterms:created xsi:type="dcterms:W3CDTF">2025-10-15T10:31:06Z</dcterms:created>
  <dcterms:modified xsi:type="dcterms:W3CDTF">2025-10-15T17:20:56Z</dcterms:modified>
</cp:coreProperties>
</file>