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Results_isofys\"/>
    </mc:Choice>
  </mc:AlternateContent>
  <bookViews>
    <workbookView xWindow="-105" yWindow="-105" windowWidth="19425" windowHeight="10305" activeTab="1"/>
  </bookViews>
  <sheets>
    <sheet name="C13" sheetId="1" r:id="rId1"/>
    <sheet name="results" sheetId="3" r:id="rId2"/>
    <sheet name="Hoja 2" sheetId="2" r:id="rId3"/>
  </sheets>
  <definedNames>
    <definedName name="_xlnm._FilterDatabase" localSheetId="2" hidden="1">'Hoja 2'!$A$1:$S$60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rSFjgdJsukh537+YuB6LfCiZ8xxjlPckQAvA9G6oKo="/>
    </ext>
  </extLst>
</workbook>
</file>

<file path=xl/calcChain.xml><?xml version="1.0" encoding="utf-8"?>
<calcChain xmlns="http://schemas.openxmlformats.org/spreadsheetml/2006/main">
  <c r="J3" i="1" l="1"/>
  <c r="I3" i="1"/>
</calcChain>
</file>

<file path=xl/sharedStrings.xml><?xml version="1.0" encoding="utf-8"?>
<sst xmlns="http://schemas.openxmlformats.org/spreadsheetml/2006/main" count="843" uniqueCount="389">
  <si>
    <t>site</t>
  </si>
  <si>
    <t>ID</t>
  </si>
  <si>
    <t>mg</t>
  </si>
  <si>
    <t>D1013 tin capsules</t>
  </si>
  <si>
    <t>A1</t>
  </si>
  <si>
    <t>p2-8933</t>
  </si>
  <si>
    <t>E1</t>
  </si>
  <si>
    <t>p8-1925</t>
  </si>
  <si>
    <t xml:space="preserve">mg </t>
  </si>
  <si>
    <t>lower limit</t>
  </si>
  <si>
    <t>upper limit</t>
  </si>
  <si>
    <t>A2</t>
  </si>
  <si>
    <t>p9-1190</t>
  </si>
  <si>
    <t>E2</t>
  </si>
  <si>
    <t>p16-1894</t>
  </si>
  <si>
    <t>A3</t>
  </si>
  <si>
    <t>p12-1318</t>
  </si>
  <si>
    <t>E3</t>
  </si>
  <si>
    <t>p8-1927</t>
  </si>
  <si>
    <t>A4</t>
  </si>
  <si>
    <t>p6-8824</t>
  </si>
  <si>
    <t>E4</t>
  </si>
  <si>
    <t>p8-1942</t>
  </si>
  <si>
    <t>A5</t>
  </si>
  <si>
    <t>p5-1014</t>
  </si>
  <si>
    <t>E5</t>
  </si>
  <si>
    <t>p8-7546</t>
  </si>
  <si>
    <t>A6</t>
  </si>
  <si>
    <t>p8-1113</t>
  </si>
  <si>
    <t>E6</t>
  </si>
  <si>
    <t>p01-2108</t>
  </si>
  <si>
    <t>A7</t>
  </si>
  <si>
    <t>p10-5819</t>
  </si>
  <si>
    <t>E7</t>
  </si>
  <si>
    <t>p6-8401</t>
  </si>
  <si>
    <t>A8</t>
  </si>
  <si>
    <t>p4-2062</t>
  </si>
  <si>
    <t>E8</t>
  </si>
  <si>
    <t>p3-8411</t>
  </si>
  <si>
    <t>A9</t>
  </si>
  <si>
    <t>p11-1329</t>
  </si>
  <si>
    <t>E9</t>
  </si>
  <si>
    <t>p1-7887</t>
  </si>
  <si>
    <t>A10</t>
  </si>
  <si>
    <t>p5-1012</t>
  </si>
  <si>
    <t>E10</t>
  </si>
  <si>
    <t>p15-1860</t>
  </si>
  <si>
    <t>A11</t>
  </si>
  <si>
    <t>p7-1169</t>
  </si>
  <si>
    <t>E11</t>
  </si>
  <si>
    <t>p15-1887</t>
  </si>
  <si>
    <t>A12</t>
  </si>
  <si>
    <t>p3-1745</t>
  </si>
  <si>
    <t>E12</t>
  </si>
  <si>
    <t>p13-7540</t>
  </si>
  <si>
    <t>B1</t>
  </si>
  <si>
    <t>p9-1200</t>
  </si>
  <si>
    <t>F1</t>
  </si>
  <si>
    <t>p1-8423</t>
  </si>
  <si>
    <t>B2</t>
  </si>
  <si>
    <t>p12-1313</t>
  </si>
  <si>
    <t>F2</t>
  </si>
  <si>
    <t>p2-8415</t>
  </si>
  <si>
    <t>B3</t>
  </si>
  <si>
    <t>p2-8934</t>
  </si>
  <si>
    <t>F3</t>
  </si>
  <si>
    <t>p3-2120</t>
  </si>
  <si>
    <t>B4</t>
  </si>
  <si>
    <t>p15-1538</t>
  </si>
  <si>
    <t>F4</t>
  </si>
  <si>
    <t>p4-2048</t>
  </si>
  <si>
    <t>B5</t>
  </si>
  <si>
    <t>p1-5861</t>
  </si>
  <si>
    <t>F5</t>
  </si>
  <si>
    <t>p11-5785</t>
  </si>
  <si>
    <t>B6</t>
  </si>
  <si>
    <t>p7-19008</t>
  </si>
  <si>
    <t>F6</t>
  </si>
  <si>
    <t>p12-6007</t>
  </si>
  <si>
    <t>B7</t>
  </si>
  <si>
    <t>p15-1547</t>
  </si>
  <si>
    <t>F7</t>
  </si>
  <si>
    <t>p10-8435</t>
  </si>
  <si>
    <t>B8</t>
  </si>
  <si>
    <t>p10-19011</t>
  </si>
  <si>
    <t>F8</t>
  </si>
  <si>
    <t>p11-2180</t>
  </si>
  <si>
    <t>B9</t>
  </si>
  <si>
    <t>p12-14014</t>
  </si>
  <si>
    <t>F9</t>
  </si>
  <si>
    <t>p2-2074</t>
  </si>
  <si>
    <t>B10</t>
  </si>
  <si>
    <t>p15-1557</t>
  </si>
  <si>
    <t>F10</t>
  </si>
  <si>
    <t>p5-2027</t>
  </si>
  <si>
    <t>B11</t>
  </si>
  <si>
    <t>p13-19015</t>
  </si>
  <si>
    <t>F11</t>
  </si>
  <si>
    <t>p15-1875</t>
  </si>
  <si>
    <t>B12</t>
  </si>
  <si>
    <t>p13-19016</t>
  </si>
  <si>
    <t>F12</t>
  </si>
  <si>
    <t>p15-1877</t>
  </si>
  <si>
    <t>C1</t>
  </si>
  <si>
    <t>p6-19007</t>
  </si>
  <si>
    <t>G1</t>
  </si>
  <si>
    <t>p3-2119</t>
  </si>
  <si>
    <t>C2</t>
  </si>
  <si>
    <t>p9-19009</t>
  </si>
  <si>
    <t>G2</t>
  </si>
  <si>
    <t>p12-7626</t>
  </si>
  <si>
    <t>C3</t>
  </si>
  <si>
    <t>p16-19019</t>
  </si>
  <si>
    <t>G3</t>
  </si>
  <si>
    <t>p9-5786</t>
  </si>
  <si>
    <t>C4</t>
  </si>
  <si>
    <t>p6-4811</t>
  </si>
  <si>
    <t>G4</t>
  </si>
  <si>
    <t>p8-1930</t>
  </si>
  <si>
    <t>C5</t>
  </si>
  <si>
    <t>p9-19010</t>
  </si>
  <si>
    <t>G5</t>
  </si>
  <si>
    <t>p2-548</t>
  </si>
  <si>
    <t>C6</t>
  </si>
  <si>
    <t>p11-19012</t>
  </si>
  <si>
    <t>G6</t>
  </si>
  <si>
    <t>p2-2009</t>
  </si>
  <si>
    <t>C7</t>
  </si>
  <si>
    <t>p14-19018</t>
  </si>
  <si>
    <t>G7</t>
  </si>
  <si>
    <t>p23-557</t>
  </si>
  <si>
    <t>C8</t>
  </si>
  <si>
    <t>p2-19004</t>
  </si>
  <si>
    <t>G8</t>
  </si>
  <si>
    <t>p4-2060</t>
  </si>
  <si>
    <t>C9</t>
  </si>
  <si>
    <t>p14-1907</t>
  </si>
  <si>
    <t>G9</t>
  </si>
  <si>
    <t>p22-550</t>
  </si>
  <si>
    <t>C10</t>
  </si>
  <si>
    <t>p11-19003</t>
  </si>
  <si>
    <t>G10</t>
  </si>
  <si>
    <t>p5-2026</t>
  </si>
  <si>
    <t>C11</t>
  </si>
  <si>
    <t>p3-19005</t>
  </si>
  <si>
    <t>G11</t>
  </si>
  <si>
    <t>p10-5791</t>
  </si>
  <si>
    <t>C12</t>
  </si>
  <si>
    <t>p12-1913</t>
  </si>
  <si>
    <t>G12</t>
  </si>
  <si>
    <t>p6-7208</t>
  </si>
  <si>
    <t>D1</t>
  </si>
  <si>
    <t>p5-19006</t>
  </si>
  <si>
    <t>H1</t>
  </si>
  <si>
    <t>D2</t>
  </si>
  <si>
    <t>p1-1608</t>
  </si>
  <si>
    <t>H2</t>
  </si>
  <si>
    <t>p2-2068</t>
  </si>
  <si>
    <t>D3</t>
  </si>
  <si>
    <t>p12-2176</t>
  </si>
  <si>
    <t>H3</t>
  </si>
  <si>
    <t>D4</t>
  </si>
  <si>
    <t>p4-8941</t>
  </si>
  <si>
    <t>H4</t>
  </si>
  <si>
    <t>sodiro006</t>
  </si>
  <si>
    <t>D5</t>
  </si>
  <si>
    <t>p7-4997</t>
  </si>
  <si>
    <t>H5</t>
  </si>
  <si>
    <t>leon2555</t>
  </si>
  <si>
    <t>D6</t>
  </si>
  <si>
    <t>p6-7633</t>
  </si>
  <si>
    <t>H6</t>
  </si>
  <si>
    <t>m33</t>
  </si>
  <si>
    <t>D7</t>
  </si>
  <si>
    <t>p13-1840</t>
  </si>
  <si>
    <t>H7</t>
  </si>
  <si>
    <t>m34</t>
  </si>
  <si>
    <t>D8</t>
  </si>
  <si>
    <t>p9-2249</t>
  </si>
  <si>
    <t>H8</t>
  </si>
  <si>
    <t>m35</t>
  </si>
  <si>
    <t>D9</t>
  </si>
  <si>
    <t>p14-3011</t>
  </si>
  <si>
    <t>H9</t>
  </si>
  <si>
    <t>m36</t>
  </si>
  <si>
    <t>D10</t>
  </si>
  <si>
    <t>p16-7543</t>
  </si>
  <si>
    <t>H10</t>
  </si>
  <si>
    <t>m37</t>
  </si>
  <si>
    <t>D11</t>
  </si>
  <si>
    <t>p5-7209</t>
  </si>
  <si>
    <t>H11</t>
  </si>
  <si>
    <t>v58</t>
  </si>
  <si>
    <t>D12</t>
  </si>
  <si>
    <t>p6-7647</t>
  </si>
  <si>
    <t>H12</t>
  </si>
  <si>
    <t>a09</t>
  </si>
  <si>
    <t>Tree_ID</t>
  </si>
  <si>
    <t>treeID_old</t>
  </si>
  <si>
    <t>leaf_sample_ID_2011</t>
  </si>
  <si>
    <t>herbarium specimen</t>
  </si>
  <si>
    <t>Plot</t>
  </si>
  <si>
    <t>Site</t>
  </si>
  <si>
    <t>cf</t>
  </si>
  <si>
    <t>Specie</t>
  </si>
  <si>
    <t>Family</t>
  </si>
  <si>
    <t>test_N_results (mg)</t>
  </si>
  <si>
    <t>lower</t>
  </si>
  <si>
    <t>upper</t>
  </si>
  <si>
    <t>Grinded #</t>
  </si>
  <si>
    <t>#leaves grinded</t>
  </si>
  <si>
    <t>Obs</t>
  </si>
  <si>
    <t>collection year</t>
  </si>
  <si>
    <t>herbaria</t>
  </si>
  <si>
    <t>Guacamayos</t>
  </si>
  <si>
    <t>Guarea kunthiana</t>
  </si>
  <si>
    <t>Meliaceae</t>
  </si>
  <si>
    <t>0.9</t>
  </si>
  <si>
    <t>x</t>
  </si>
  <si>
    <t>1 hoja compuesta</t>
  </si>
  <si>
    <t>QCNE,MO,K</t>
  </si>
  <si>
    <t>Sapium stylare</t>
  </si>
  <si>
    <t>Euphorbiaceae</t>
  </si>
  <si>
    <t>QCNE,QCA,GOET,M</t>
  </si>
  <si>
    <t>Tetrorchidium andinum</t>
  </si>
  <si>
    <t>Joosia ulei</t>
  </si>
  <si>
    <t>Rubiaceae</t>
  </si>
  <si>
    <t>-</t>
  </si>
  <si>
    <t>nuevo reclutamiento</t>
  </si>
  <si>
    <t>Not sampled before for leaf traits.</t>
  </si>
  <si>
    <t>Ocotea indet</t>
  </si>
  <si>
    <t>Lauracea</t>
  </si>
  <si>
    <t>Wrongly identified as Cryptocaria in the past.</t>
  </si>
  <si>
    <t>QCNE,QCA,MO,GOET</t>
  </si>
  <si>
    <t>Oyacachi</t>
  </si>
  <si>
    <t>Polylepis pauta</t>
  </si>
  <si>
    <t>Rosaceae</t>
  </si>
  <si>
    <t>0.99</t>
  </si>
  <si>
    <t>1.21</t>
  </si>
  <si>
    <t>Posible #4010, dbh2006 = 31.26 and dbh2023 = 31.51. Taking into account radial growth of 1 mm per year.</t>
  </si>
  <si>
    <t>can't correlate with previous trees dbh2023= 12.09</t>
  </si>
  <si>
    <t>Sessea crassivenosa</t>
  </si>
  <si>
    <t>Solanaceae</t>
  </si>
  <si>
    <t>difficult to correlate with previous trees dbh2023 = 46.4</t>
  </si>
  <si>
    <t>Multistem 4036 = 4035</t>
  </si>
  <si>
    <t>Ruagea glabra</t>
  </si>
  <si>
    <t>Todas menos 1</t>
  </si>
  <si>
    <t>5paq</t>
  </si>
  <si>
    <t>QCA,QCNE,K</t>
  </si>
  <si>
    <t>Miconia glandulistyla</t>
  </si>
  <si>
    <t>Melastomataceae</t>
  </si>
  <si>
    <t>1.89</t>
  </si>
  <si>
    <t>2.31</t>
  </si>
  <si>
    <t>QCNE,QCA,MO,NY</t>
  </si>
  <si>
    <t>Hedyosmum cuatrecazanum</t>
  </si>
  <si>
    <t>Chloranthaceae</t>
  </si>
  <si>
    <t>1.32</t>
  </si>
  <si>
    <t>QCA,QCNE,GOET,MO</t>
  </si>
  <si>
    <t>Hieronyma oblonga</t>
  </si>
  <si>
    <t>Phyllanthaceae</t>
  </si>
  <si>
    <t>Gynoxys acostae</t>
  </si>
  <si>
    <t>Asteraceae</t>
  </si>
  <si>
    <t>1.17</t>
  </si>
  <si>
    <t>1.43</t>
  </si>
  <si>
    <t>can't correlate with previous trees dbh2023= 15.56</t>
  </si>
  <si>
    <t>can't correlate with previous trees dbh2023 = 10.98</t>
  </si>
  <si>
    <t>Gynoxys induta</t>
  </si>
  <si>
    <t>Ficus tonduzii</t>
  </si>
  <si>
    <t>Moraceae</t>
  </si>
  <si>
    <t>Weinmania pinnata</t>
  </si>
  <si>
    <t>Palicourea demissa</t>
  </si>
  <si>
    <t>Cunoniaceae</t>
  </si>
  <si>
    <t>Algunos foliolos se han desprendido, se trata de completar las hojas.</t>
  </si>
  <si>
    <t>Posoqueria coriacea</t>
  </si>
  <si>
    <t>1.35</t>
  </si>
  <si>
    <t>1.65</t>
  </si>
  <si>
    <t>Faramea oblongifolia</t>
  </si>
  <si>
    <t>Nectandra laurel</t>
  </si>
  <si>
    <t>1.44</t>
  </si>
  <si>
    <t>1.76</t>
  </si>
  <si>
    <t>Elaeagia karstenii</t>
  </si>
  <si>
    <t>1.62</t>
  </si>
  <si>
    <t>1.98</t>
  </si>
  <si>
    <t>2paq se seleccionan las hojas más grandes</t>
  </si>
  <si>
    <t>Annona indet</t>
  </si>
  <si>
    <t>Annonaceae</t>
  </si>
  <si>
    <t>0.7</t>
  </si>
  <si>
    <t>0.63</t>
  </si>
  <si>
    <t>0.77</t>
  </si>
  <si>
    <t>No llegaban a 10</t>
  </si>
  <si>
    <t>Dussia tessmannii</t>
  </si>
  <si>
    <t>Fabaceae</t>
  </si>
  <si>
    <t>0.8</t>
  </si>
  <si>
    <t>0.72</t>
  </si>
  <si>
    <t>0.88</t>
  </si>
  <si>
    <t>QCNE,QCA,MO</t>
  </si>
  <si>
    <t>Chomelia tenuiflora</t>
  </si>
  <si>
    <t>Verbesina indet</t>
  </si>
  <si>
    <t>0.81</t>
  </si>
  <si>
    <t>Solanum stenophyllum</t>
  </si>
  <si>
    <t>QCA, QCNE, MO, GOET</t>
  </si>
  <si>
    <t>Critoniopsis occidentalis</t>
  </si>
  <si>
    <t>Ruagea ovalis</t>
  </si>
  <si>
    <t>QCNE,QCA,MO,K</t>
  </si>
  <si>
    <t>Erythrina edulis</t>
  </si>
  <si>
    <t>-30.69</t>
  </si>
  <si>
    <t>-30.99</t>
  </si>
  <si>
    <t>-32.02</t>
  </si>
  <si>
    <t>-30.83</t>
  </si>
  <si>
    <t>-32.15</t>
  </si>
  <si>
    <t>-31.96</t>
  </si>
  <si>
    <t>-29.72</t>
  </si>
  <si>
    <t>-33.09</t>
  </si>
  <si>
    <t>-29.29</t>
  </si>
  <si>
    <t>-28.42</t>
  </si>
  <si>
    <t>-30.43</t>
  </si>
  <si>
    <t>-30.26</t>
  </si>
  <si>
    <t>-30.98</t>
  </si>
  <si>
    <t>-31.19</t>
  </si>
  <si>
    <t>-29.28</t>
  </si>
  <si>
    <t>-31.98</t>
  </si>
  <si>
    <t>-32.67</t>
  </si>
  <si>
    <t>-32.01</t>
  </si>
  <si>
    <t>-30.01</t>
  </si>
  <si>
    <t>-31.46</t>
  </si>
  <si>
    <t>-31.62</t>
  </si>
  <si>
    <t>-30.74</t>
  </si>
  <si>
    <t>-28.20</t>
  </si>
  <si>
    <t>-32.96</t>
  </si>
  <si>
    <t>-32.93</t>
  </si>
  <si>
    <t>-30.13</t>
  </si>
  <si>
    <t>-30.91</t>
  </si>
  <si>
    <t>-30.92</t>
  </si>
  <si>
    <t>-31.13</t>
  </si>
  <si>
    <t>-31.33</t>
  </si>
  <si>
    <t>-33.43</t>
  </si>
  <si>
    <t>-31.40</t>
  </si>
  <si>
    <t>-30.05</t>
  </si>
  <si>
    <t>-31.35</t>
  </si>
  <si>
    <t>-31.76</t>
  </si>
  <si>
    <t>-29.37</t>
  </si>
  <si>
    <t>-30.34</t>
  </si>
  <si>
    <t>-31.07</t>
  </si>
  <si>
    <t>-30.54</t>
  </si>
  <si>
    <t>-31.11</t>
  </si>
  <si>
    <t>-29.19</t>
  </si>
  <si>
    <t>-30.93</t>
  </si>
  <si>
    <t>-31.80</t>
  </si>
  <si>
    <t>-23.39</t>
  </si>
  <si>
    <t>-31.09</t>
  </si>
  <si>
    <t>-27.67</t>
  </si>
  <si>
    <t>-25.47</t>
  </si>
  <si>
    <t>-28.78</t>
  </si>
  <si>
    <t>-26.58</t>
  </si>
  <si>
    <t>-29.06</t>
  </si>
  <si>
    <t>-27.23</t>
  </si>
  <si>
    <t>-26.38</t>
  </si>
  <si>
    <t>-25.70</t>
  </si>
  <si>
    <t>-25.65</t>
  </si>
  <si>
    <t>-27.80</t>
  </si>
  <si>
    <t>-25.51</t>
  </si>
  <si>
    <t>-26.99</t>
  </si>
  <si>
    <t>-27.59</t>
  </si>
  <si>
    <t>-24.53</t>
  </si>
  <si>
    <t>-28.06</t>
  </si>
  <si>
    <t>-23.86</t>
  </si>
  <si>
    <t>-29.10</t>
  </si>
  <si>
    <t>-26.57</t>
  </si>
  <si>
    <t>-29.76</t>
  </si>
  <si>
    <t>-26.93</t>
  </si>
  <si>
    <t>-28.09</t>
  </si>
  <si>
    <t>-24.88</t>
  </si>
  <si>
    <t>-26.80</t>
  </si>
  <si>
    <t>-28.27</t>
  </si>
  <si>
    <t>-28.85</t>
  </si>
  <si>
    <t>-26.52</t>
  </si>
  <si>
    <t>-28.93</t>
  </si>
  <si>
    <t>-27.46</t>
  </si>
  <si>
    <t>-29.59</t>
  </si>
  <si>
    <t>-26.37</t>
  </si>
  <si>
    <t>-27.45</t>
  </si>
  <si>
    <t>-28.47</t>
  </si>
  <si>
    <t>-27.83</t>
  </si>
  <si>
    <t>-28.73</t>
  </si>
  <si>
    <t>-27.57</t>
  </si>
  <si>
    <t>[C]</t>
  </si>
  <si>
    <r>
      <rPr>
        <sz val="10"/>
        <color theme="1"/>
        <rFont val="Calibri"/>
        <family val="2"/>
      </rPr>
      <t>Ꟙ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 (in ‰ v PDB)</t>
    </r>
  </si>
  <si>
    <t>p06-2012</t>
  </si>
  <si>
    <t>sample-ID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</si>
</sst>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d\.m"/>
    <numFmt numFmtId="166" formatCode="dd\.mm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Calibri"/>
    </font>
    <font>
      <sz val="10"/>
      <color rgb="FF1F1F1F"/>
      <name val="Calibri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1" fillId="3" borderId="0" xfId="0" applyFont="1" applyFill="1"/>
    <xf numFmtId="0" fontId="7" fillId="0" borderId="0" xfId="0" applyFont="1"/>
    <xf numFmtId="0" fontId="8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5" fillId="0" borderId="0" xfId="0" applyFont="1"/>
    <xf numFmtId="165" fontId="5" fillId="0" borderId="0" xfId="0" applyNumberFormat="1" applyFont="1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/>
    <xf numFmtId="165" fontId="5" fillId="4" borderId="1" xfId="0" applyNumberFormat="1" applyFont="1" applyFill="1" applyBorder="1" applyAlignment="1">
      <alignment horizontal="right"/>
    </xf>
    <xf numFmtId="166" fontId="5" fillId="4" borderId="1" xfId="0" applyNumberFormat="1" applyFont="1" applyFill="1" applyBorder="1" applyAlignment="1">
      <alignment horizontal="right"/>
    </xf>
    <xf numFmtId="166" fontId="5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2" fillId="0" borderId="5" xfId="0" quotePrefix="1" applyFont="1" applyBorder="1" applyAlignment="1">
      <alignment horizontal="center"/>
    </xf>
    <xf numFmtId="0" fontId="1" fillId="0" borderId="0" xfId="0" applyFont="1" applyFill="1"/>
    <xf numFmtId="0" fontId="10" fillId="0" borderId="0" xfId="0" applyFont="1" applyAlignment="1">
      <alignment horizontal="center"/>
    </xf>
    <xf numFmtId="0" fontId="5" fillId="0" borderId="0" xfId="0" applyFont="1"/>
    <xf numFmtId="0" fontId="0" fillId="0" borderId="0" xfId="0"/>
    <xf numFmtId="0" fontId="5" fillId="4" borderId="4" xfId="0" applyFont="1" applyFill="1" applyBorder="1"/>
    <xf numFmtId="0" fontId="9" fillId="0" borderId="5" xfId="0" applyFont="1" applyBorder="1"/>
    <xf numFmtId="2" fontId="11" fillId="0" borderId="0" xfId="0" applyNumberFormat="1" applyFont="1" applyAlignment="1">
      <alignment horizontal="center"/>
    </xf>
    <xf numFmtId="2" fontId="12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000"/>
  <sheetViews>
    <sheetView workbookViewId="0">
      <pane ySplit="1" topLeftCell="A36" activePane="bottomLeft" state="frozen"/>
      <selection pane="bottomLeft" activeCell="D2" sqref="D2:E49"/>
    </sheetView>
  </sheetViews>
  <sheetFormatPr baseColWidth="10" defaultColWidth="12.5703125" defaultRowHeight="15" customHeight="1" x14ac:dyDescent="0.2"/>
  <cols>
    <col min="8" max="8" width="21.28515625" customWidth="1"/>
  </cols>
  <sheetData>
    <row r="1" spans="1:11" ht="15.75" customHeight="1" x14ac:dyDescent="0.2">
      <c r="A1" s="1" t="s">
        <v>0</v>
      </c>
      <c r="B1" s="1" t="s">
        <v>1</v>
      </c>
      <c r="C1" s="2" t="s">
        <v>2</v>
      </c>
      <c r="D1" s="1" t="s">
        <v>0</v>
      </c>
      <c r="E1" s="1" t="s">
        <v>1</v>
      </c>
      <c r="F1" s="1" t="s">
        <v>2</v>
      </c>
      <c r="H1" s="3" t="s">
        <v>3</v>
      </c>
    </row>
    <row r="2" spans="1:11" ht="15.75" customHeight="1" x14ac:dyDescent="0.2">
      <c r="A2" s="1" t="s">
        <v>4</v>
      </c>
      <c r="B2" s="1" t="s">
        <v>5</v>
      </c>
      <c r="C2" s="2">
        <v>0.39</v>
      </c>
      <c r="D2" s="1" t="s">
        <v>6</v>
      </c>
      <c r="E2" s="1" t="s">
        <v>7</v>
      </c>
      <c r="F2" s="1">
        <v>0.38200000000000001</v>
      </c>
      <c r="G2" s="1"/>
      <c r="H2" s="1" t="s">
        <v>8</v>
      </c>
      <c r="I2" s="1" t="s">
        <v>9</v>
      </c>
      <c r="J2" s="1" t="s">
        <v>10</v>
      </c>
    </row>
    <row r="3" spans="1:11" ht="15.75" customHeight="1" x14ac:dyDescent="0.2">
      <c r="A3" s="1" t="s">
        <v>11</v>
      </c>
      <c r="B3" s="1" t="s">
        <v>12</v>
      </c>
      <c r="C3" s="2">
        <v>0.38</v>
      </c>
      <c r="D3" s="1" t="s">
        <v>13</v>
      </c>
      <c r="E3" s="1" t="s">
        <v>14</v>
      </c>
      <c r="F3" s="1">
        <v>0.42399999999999999</v>
      </c>
      <c r="G3" s="4"/>
      <c r="H3" s="4">
        <v>0.4</v>
      </c>
      <c r="I3" s="4">
        <f>H3-(H3*0.1)</f>
        <v>0.36</v>
      </c>
      <c r="J3" s="4">
        <f>H3+(H3*0.1)</f>
        <v>0.44000000000000006</v>
      </c>
    </row>
    <row r="4" spans="1:11" ht="15.75" customHeight="1" x14ac:dyDescent="0.25">
      <c r="A4" s="1" t="s">
        <v>15</v>
      </c>
      <c r="B4" s="1" t="s">
        <v>16</v>
      </c>
      <c r="C4" s="2">
        <v>0.434</v>
      </c>
      <c r="D4" s="1" t="s">
        <v>17</v>
      </c>
      <c r="E4" s="1" t="s">
        <v>18</v>
      </c>
      <c r="F4" s="1">
        <v>0.41199999999999998</v>
      </c>
      <c r="G4" s="5"/>
      <c r="H4" s="5"/>
      <c r="I4" s="4"/>
      <c r="J4" s="6"/>
      <c r="K4" s="7"/>
    </row>
    <row r="5" spans="1:11" ht="15.75" customHeight="1" x14ac:dyDescent="0.2">
      <c r="A5" s="1" t="s">
        <v>19</v>
      </c>
      <c r="B5" s="1" t="s">
        <v>20</v>
      </c>
      <c r="C5" s="2">
        <v>0.41499999999999998</v>
      </c>
      <c r="D5" s="1" t="s">
        <v>21</v>
      </c>
      <c r="E5" s="1" t="s">
        <v>22</v>
      </c>
      <c r="F5" s="1">
        <v>0.42199999999999999</v>
      </c>
      <c r="G5" s="5"/>
      <c r="H5" s="4"/>
      <c r="I5" s="6"/>
      <c r="J5" s="6"/>
    </row>
    <row r="6" spans="1:11" ht="15.75" customHeight="1" x14ac:dyDescent="0.2">
      <c r="A6" s="1" t="s">
        <v>23</v>
      </c>
      <c r="B6" s="1" t="s">
        <v>24</v>
      </c>
      <c r="C6" s="2">
        <v>0.433</v>
      </c>
      <c r="D6" s="1" t="s">
        <v>25</v>
      </c>
      <c r="E6" s="1" t="s">
        <v>26</v>
      </c>
      <c r="F6" s="1">
        <v>0.42399999999999999</v>
      </c>
      <c r="G6" s="4"/>
      <c r="H6" s="4"/>
      <c r="I6" s="6"/>
      <c r="J6" s="6"/>
    </row>
    <row r="7" spans="1:11" ht="15.75" customHeight="1" x14ac:dyDescent="0.2">
      <c r="A7" s="1" t="s">
        <v>27</v>
      </c>
      <c r="B7" s="1" t="s">
        <v>28</v>
      </c>
      <c r="C7" s="2">
        <v>0.39800000000000002</v>
      </c>
      <c r="D7" s="1" t="s">
        <v>29</v>
      </c>
      <c r="E7" s="1" t="s">
        <v>30</v>
      </c>
      <c r="F7" s="1">
        <v>0.40699999999999997</v>
      </c>
      <c r="G7" s="8"/>
      <c r="H7" s="4"/>
      <c r="I7" s="6"/>
      <c r="J7" s="6"/>
    </row>
    <row r="8" spans="1:11" ht="15.75" customHeight="1" x14ac:dyDescent="0.2">
      <c r="A8" s="1" t="s">
        <v>31</v>
      </c>
      <c r="B8" s="1" t="s">
        <v>32</v>
      </c>
      <c r="C8" s="2">
        <v>0.438</v>
      </c>
      <c r="D8" s="1" t="s">
        <v>33</v>
      </c>
      <c r="E8" s="1" t="s">
        <v>34</v>
      </c>
      <c r="F8" s="1">
        <v>0.39800000000000002</v>
      </c>
    </row>
    <row r="9" spans="1:11" ht="15.75" customHeight="1" x14ac:dyDescent="0.2">
      <c r="A9" s="1" t="s">
        <v>35</v>
      </c>
      <c r="B9" s="1" t="s">
        <v>36</v>
      </c>
      <c r="C9" s="2">
        <v>0.41</v>
      </c>
      <c r="D9" s="1" t="s">
        <v>37</v>
      </c>
      <c r="E9" s="1" t="s">
        <v>38</v>
      </c>
      <c r="F9" s="1">
        <v>0.432</v>
      </c>
    </row>
    <row r="10" spans="1:11" ht="15.75" customHeight="1" x14ac:dyDescent="0.2">
      <c r="A10" s="1" t="s">
        <v>39</v>
      </c>
      <c r="B10" s="1" t="s">
        <v>40</v>
      </c>
      <c r="C10" s="2">
        <v>0.41699999999999998</v>
      </c>
      <c r="D10" s="1" t="s">
        <v>41</v>
      </c>
      <c r="E10" s="1" t="s">
        <v>42</v>
      </c>
      <c r="F10" s="1">
        <v>0.436</v>
      </c>
    </row>
    <row r="11" spans="1:11" ht="15.75" customHeight="1" x14ac:dyDescent="0.2">
      <c r="A11" s="1" t="s">
        <v>43</v>
      </c>
      <c r="B11" s="1" t="s">
        <v>44</v>
      </c>
      <c r="C11" s="2">
        <v>0.41199999999999998</v>
      </c>
      <c r="D11" s="1" t="s">
        <v>45</v>
      </c>
      <c r="E11" s="1" t="s">
        <v>46</v>
      </c>
      <c r="F11" s="1">
        <v>0.41799999999999998</v>
      </c>
    </row>
    <row r="12" spans="1:11" ht="15.75" customHeight="1" x14ac:dyDescent="0.2">
      <c r="A12" s="1" t="s">
        <v>47</v>
      </c>
      <c r="B12" s="1" t="s">
        <v>48</v>
      </c>
      <c r="C12" s="2">
        <v>0.42899999999999999</v>
      </c>
      <c r="D12" s="1" t="s">
        <v>49</v>
      </c>
      <c r="E12" s="1" t="s">
        <v>50</v>
      </c>
      <c r="F12" s="1">
        <v>0.41099999999999998</v>
      </c>
    </row>
    <row r="13" spans="1:11" ht="15.75" customHeight="1" x14ac:dyDescent="0.2">
      <c r="A13" s="1" t="s">
        <v>51</v>
      </c>
      <c r="B13" s="1" t="s">
        <v>52</v>
      </c>
      <c r="C13" s="2">
        <v>0.44</v>
      </c>
      <c r="D13" s="1" t="s">
        <v>53</v>
      </c>
      <c r="E13" s="1" t="s">
        <v>54</v>
      </c>
      <c r="F13" s="1">
        <v>0.41799999999999998</v>
      </c>
    </row>
    <row r="14" spans="1:11" ht="15.75" customHeight="1" x14ac:dyDescent="0.2">
      <c r="A14" s="1" t="s">
        <v>55</v>
      </c>
      <c r="B14" s="1" t="s">
        <v>56</v>
      </c>
      <c r="C14" s="2">
        <v>0.42</v>
      </c>
      <c r="D14" s="1" t="s">
        <v>57</v>
      </c>
      <c r="E14" s="1" t="s">
        <v>58</v>
      </c>
      <c r="F14" s="1">
        <v>0.439</v>
      </c>
    </row>
    <row r="15" spans="1:11" ht="15.75" customHeight="1" x14ac:dyDescent="0.2">
      <c r="A15" s="1" t="s">
        <v>59</v>
      </c>
      <c r="B15" s="1" t="s">
        <v>60</v>
      </c>
      <c r="C15" s="2">
        <v>0.39600000000000002</v>
      </c>
      <c r="D15" s="1" t="s">
        <v>61</v>
      </c>
      <c r="E15" s="1" t="s">
        <v>62</v>
      </c>
      <c r="F15" s="1">
        <v>0.42899999999999999</v>
      </c>
    </row>
    <row r="16" spans="1:11" ht="15.75" customHeight="1" x14ac:dyDescent="0.2">
      <c r="A16" s="1" t="s">
        <v>63</v>
      </c>
      <c r="B16" s="1" t="s">
        <v>64</v>
      </c>
      <c r="C16" s="2">
        <v>0.436</v>
      </c>
      <c r="D16" s="1" t="s">
        <v>65</v>
      </c>
      <c r="E16" s="1" t="s">
        <v>66</v>
      </c>
      <c r="F16" s="1">
        <v>0.43</v>
      </c>
    </row>
    <row r="17" spans="1:8" ht="15.75" customHeight="1" x14ac:dyDescent="0.2">
      <c r="A17" s="1" t="s">
        <v>67</v>
      </c>
      <c r="B17" s="1" t="s">
        <v>68</v>
      </c>
      <c r="C17" s="2">
        <v>0.40699999999999997</v>
      </c>
      <c r="D17" s="1" t="s">
        <v>69</v>
      </c>
      <c r="E17" s="1" t="s">
        <v>70</v>
      </c>
      <c r="F17" s="1">
        <v>0.42899999999999999</v>
      </c>
    </row>
    <row r="18" spans="1:8" ht="15.75" customHeight="1" x14ac:dyDescent="0.2">
      <c r="A18" s="1" t="s">
        <v>71</v>
      </c>
      <c r="B18" s="1" t="s">
        <v>72</v>
      </c>
      <c r="C18" s="2">
        <v>0.41699999999999998</v>
      </c>
      <c r="D18" s="1" t="s">
        <v>73</v>
      </c>
      <c r="E18" s="1" t="s">
        <v>74</v>
      </c>
      <c r="F18" s="1">
        <v>0.40899999999999997</v>
      </c>
    </row>
    <row r="19" spans="1:8" ht="15.75" customHeight="1" x14ac:dyDescent="0.2">
      <c r="A19" s="1" t="s">
        <v>75</v>
      </c>
      <c r="B19" s="1" t="s">
        <v>76</v>
      </c>
      <c r="C19" s="2">
        <v>0.39700000000000002</v>
      </c>
      <c r="D19" s="1" t="s">
        <v>77</v>
      </c>
      <c r="E19" s="1" t="s">
        <v>78</v>
      </c>
      <c r="F19" s="1">
        <v>0.4</v>
      </c>
    </row>
    <row r="20" spans="1:8" ht="15.75" customHeight="1" x14ac:dyDescent="0.2">
      <c r="A20" s="1" t="s">
        <v>79</v>
      </c>
      <c r="B20" s="1" t="s">
        <v>80</v>
      </c>
      <c r="C20" s="2">
        <v>0.434</v>
      </c>
      <c r="D20" s="1" t="s">
        <v>81</v>
      </c>
      <c r="E20" s="1" t="s">
        <v>82</v>
      </c>
      <c r="F20" s="1">
        <v>0.42199999999999999</v>
      </c>
    </row>
    <row r="21" spans="1:8" ht="15.75" customHeight="1" x14ac:dyDescent="0.2">
      <c r="A21" s="1" t="s">
        <v>83</v>
      </c>
      <c r="B21" s="1" t="s">
        <v>84</v>
      </c>
      <c r="C21" s="2">
        <v>0.441</v>
      </c>
      <c r="D21" s="1" t="s">
        <v>85</v>
      </c>
      <c r="E21" s="1" t="s">
        <v>86</v>
      </c>
      <c r="F21" s="1">
        <v>0.40899999999999997</v>
      </c>
    </row>
    <row r="22" spans="1:8" ht="15.75" customHeight="1" x14ac:dyDescent="0.2">
      <c r="A22" s="1" t="s">
        <v>87</v>
      </c>
      <c r="B22" s="1" t="s">
        <v>88</v>
      </c>
      <c r="C22" s="2">
        <v>0.42899999999999999</v>
      </c>
      <c r="D22" s="1" t="s">
        <v>89</v>
      </c>
      <c r="E22" s="1" t="s">
        <v>90</v>
      </c>
      <c r="F22" s="1">
        <v>0.41899999999999998</v>
      </c>
    </row>
    <row r="23" spans="1:8" ht="15.75" customHeight="1" x14ac:dyDescent="0.2">
      <c r="A23" s="1" t="s">
        <v>91</v>
      </c>
      <c r="B23" s="1" t="s">
        <v>92</v>
      </c>
      <c r="C23" s="2">
        <v>0.40699999999999997</v>
      </c>
      <c r="D23" s="1" t="s">
        <v>93</v>
      </c>
      <c r="E23" s="1" t="s">
        <v>94</v>
      </c>
      <c r="F23" s="1">
        <v>0.42199999999999999</v>
      </c>
    </row>
    <row r="24" spans="1:8" ht="15.75" customHeight="1" x14ac:dyDescent="0.2">
      <c r="A24" s="1" t="s">
        <v>95</v>
      </c>
      <c r="B24" s="1" t="s">
        <v>96</v>
      </c>
      <c r="C24" s="2">
        <v>0.39400000000000002</v>
      </c>
      <c r="D24" s="1" t="s">
        <v>97</v>
      </c>
      <c r="E24" s="1" t="s">
        <v>98</v>
      </c>
      <c r="F24" s="1">
        <v>0.434</v>
      </c>
    </row>
    <row r="25" spans="1:8" ht="15.75" customHeight="1" x14ac:dyDescent="0.2">
      <c r="A25" s="1" t="s">
        <v>99</v>
      </c>
      <c r="B25" s="1" t="s">
        <v>100</v>
      </c>
      <c r="C25" s="2">
        <v>0.40300000000000002</v>
      </c>
      <c r="D25" s="1" t="s">
        <v>101</v>
      </c>
      <c r="E25" s="1" t="s">
        <v>102</v>
      </c>
      <c r="F25" s="1">
        <v>0.40400000000000003</v>
      </c>
    </row>
    <row r="26" spans="1:8" ht="15.75" customHeight="1" x14ac:dyDescent="0.2">
      <c r="A26" s="1" t="s">
        <v>103</v>
      </c>
      <c r="B26" s="1" t="s">
        <v>104</v>
      </c>
      <c r="C26" s="2">
        <v>0.42399999999999999</v>
      </c>
      <c r="D26" s="1" t="s">
        <v>105</v>
      </c>
      <c r="E26" s="1" t="s">
        <v>106</v>
      </c>
      <c r="F26" s="1">
        <v>0.39800000000000002</v>
      </c>
    </row>
    <row r="27" spans="1:8" ht="15.75" customHeight="1" x14ac:dyDescent="0.2">
      <c r="A27" s="1" t="s">
        <v>107</v>
      </c>
      <c r="B27" s="1" t="s">
        <v>108</v>
      </c>
      <c r="C27" s="2">
        <v>0.40799999999999997</v>
      </c>
      <c r="D27" s="1" t="s">
        <v>109</v>
      </c>
      <c r="E27" s="1" t="s">
        <v>110</v>
      </c>
      <c r="F27" s="1">
        <v>0.436</v>
      </c>
      <c r="H27" s="1"/>
    </row>
    <row r="28" spans="1:8" ht="15.75" customHeight="1" x14ac:dyDescent="0.2">
      <c r="A28" s="1" t="s">
        <v>111</v>
      </c>
      <c r="B28" s="1" t="s">
        <v>112</v>
      </c>
      <c r="C28" s="2">
        <v>0.435</v>
      </c>
      <c r="D28" s="1" t="s">
        <v>113</v>
      </c>
      <c r="E28" s="1" t="s">
        <v>114</v>
      </c>
      <c r="F28" s="1">
        <v>0.39600000000000002</v>
      </c>
      <c r="H28" s="1"/>
    </row>
    <row r="29" spans="1:8" ht="15.75" customHeight="1" x14ac:dyDescent="0.2">
      <c r="A29" s="1" t="s">
        <v>115</v>
      </c>
      <c r="B29" s="1" t="s">
        <v>116</v>
      </c>
      <c r="C29" s="2">
        <v>0.36799999999999999</v>
      </c>
      <c r="D29" s="1" t="s">
        <v>117</v>
      </c>
      <c r="E29" s="1" t="s">
        <v>118</v>
      </c>
      <c r="F29" s="1">
        <v>0.41299999999999998</v>
      </c>
    </row>
    <row r="30" spans="1:8" ht="15.75" customHeight="1" x14ac:dyDescent="0.2">
      <c r="A30" s="1" t="s">
        <v>119</v>
      </c>
      <c r="B30" s="1" t="s">
        <v>120</v>
      </c>
      <c r="C30" s="2">
        <v>0.41599999999999998</v>
      </c>
      <c r="D30" s="1" t="s">
        <v>121</v>
      </c>
      <c r="E30" s="9" t="s">
        <v>122</v>
      </c>
      <c r="F30" s="1">
        <v>0.38100000000000001</v>
      </c>
    </row>
    <row r="31" spans="1:8" ht="15.75" customHeight="1" x14ac:dyDescent="0.2">
      <c r="A31" s="1" t="s">
        <v>123</v>
      </c>
      <c r="B31" s="1" t="s">
        <v>124</v>
      </c>
      <c r="C31" s="2">
        <v>0.39700000000000002</v>
      </c>
      <c r="D31" s="1" t="s">
        <v>125</v>
      </c>
      <c r="E31" s="1" t="s">
        <v>126</v>
      </c>
      <c r="F31" s="1">
        <v>0.40200000000000002</v>
      </c>
    </row>
    <row r="32" spans="1:8" ht="15.75" customHeight="1" x14ac:dyDescent="0.2">
      <c r="A32" s="1" t="s">
        <v>127</v>
      </c>
      <c r="B32" s="1" t="s">
        <v>128</v>
      </c>
      <c r="C32" s="2">
        <v>0.40699999999999997</v>
      </c>
      <c r="D32" s="1" t="s">
        <v>129</v>
      </c>
      <c r="E32" s="1" t="s">
        <v>130</v>
      </c>
      <c r="F32" s="1">
        <v>0.40100000000000002</v>
      </c>
    </row>
    <row r="33" spans="1:11" ht="15.75" customHeight="1" x14ac:dyDescent="0.2">
      <c r="A33" s="1" t="s">
        <v>131</v>
      </c>
      <c r="B33" s="1" t="s">
        <v>132</v>
      </c>
      <c r="C33" s="2">
        <v>0.42799999999999999</v>
      </c>
      <c r="D33" s="1" t="s">
        <v>133</v>
      </c>
      <c r="E33" s="1" t="s">
        <v>134</v>
      </c>
      <c r="F33" s="1">
        <v>0.4</v>
      </c>
    </row>
    <row r="34" spans="1:11" ht="15.75" customHeight="1" x14ac:dyDescent="0.2">
      <c r="A34" s="1" t="s">
        <v>135</v>
      </c>
      <c r="B34" s="1" t="s">
        <v>136</v>
      </c>
      <c r="C34" s="2">
        <v>0.40500000000000003</v>
      </c>
      <c r="D34" s="1" t="s">
        <v>137</v>
      </c>
      <c r="E34" s="1" t="s">
        <v>138</v>
      </c>
      <c r="F34" s="1">
        <v>0.39600000000000002</v>
      </c>
    </row>
    <row r="35" spans="1:11" ht="15.75" customHeight="1" x14ac:dyDescent="0.2">
      <c r="A35" s="1" t="s">
        <v>139</v>
      </c>
      <c r="B35" s="1" t="s">
        <v>140</v>
      </c>
      <c r="C35" s="2">
        <v>0.38800000000000001</v>
      </c>
      <c r="D35" s="1" t="s">
        <v>141</v>
      </c>
      <c r="E35" s="1" t="s">
        <v>142</v>
      </c>
      <c r="F35" s="1">
        <v>0.39600000000000002</v>
      </c>
    </row>
    <row r="36" spans="1:11" ht="15.75" customHeight="1" x14ac:dyDescent="0.2">
      <c r="A36" s="1" t="s">
        <v>143</v>
      </c>
      <c r="B36" s="1" t="s">
        <v>144</v>
      </c>
      <c r="C36" s="2">
        <v>0.434</v>
      </c>
      <c r="D36" s="1" t="s">
        <v>145</v>
      </c>
      <c r="E36" s="1" t="s">
        <v>146</v>
      </c>
      <c r="F36" s="1">
        <v>0.439</v>
      </c>
    </row>
    <row r="37" spans="1:11" ht="15.75" customHeight="1" x14ac:dyDescent="0.2">
      <c r="A37" s="1" t="s">
        <v>147</v>
      </c>
      <c r="B37" s="1" t="s">
        <v>148</v>
      </c>
      <c r="C37" s="2">
        <v>0.41499999999999998</v>
      </c>
      <c r="D37" s="1" t="s">
        <v>149</v>
      </c>
      <c r="E37" s="1" t="s">
        <v>150</v>
      </c>
      <c r="F37" s="1">
        <v>0.432</v>
      </c>
    </row>
    <row r="38" spans="1:11" ht="15.75" customHeight="1" x14ac:dyDescent="0.2">
      <c r="A38" s="1" t="s">
        <v>151</v>
      </c>
      <c r="B38" s="1" t="s">
        <v>152</v>
      </c>
      <c r="C38" s="2">
        <v>0.42299999999999999</v>
      </c>
      <c r="D38" s="1" t="s">
        <v>153</v>
      </c>
      <c r="E38" s="1" t="s">
        <v>7</v>
      </c>
      <c r="F38" s="1">
        <v>0.433</v>
      </c>
    </row>
    <row r="39" spans="1:11" ht="15.75" customHeight="1" x14ac:dyDescent="0.2">
      <c r="A39" s="1" t="s">
        <v>154</v>
      </c>
      <c r="B39" s="1" t="s">
        <v>155</v>
      </c>
      <c r="C39" s="2">
        <v>0.435</v>
      </c>
      <c r="D39" s="1" t="s">
        <v>156</v>
      </c>
      <c r="E39" s="1" t="s">
        <v>157</v>
      </c>
      <c r="F39" s="1">
        <v>0.40600000000000003</v>
      </c>
    </row>
    <row r="40" spans="1:11" ht="15.75" customHeight="1" x14ac:dyDescent="0.2">
      <c r="A40" s="1" t="s">
        <v>158</v>
      </c>
      <c r="B40" s="1" t="s">
        <v>159</v>
      </c>
      <c r="C40" s="2">
        <v>0.39900000000000002</v>
      </c>
      <c r="D40" s="1" t="s">
        <v>160</v>
      </c>
      <c r="E40" s="1">
        <v>2012</v>
      </c>
      <c r="F40" s="1">
        <v>0.434</v>
      </c>
    </row>
    <row r="41" spans="1:11" ht="15.75" customHeight="1" x14ac:dyDescent="0.2">
      <c r="A41" s="1" t="s">
        <v>161</v>
      </c>
      <c r="B41" s="1" t="s">
        <v>162</v>
      </c>
      <c r="C41" s="2">
        <v>0.41499999999999998</v>
      </c>
      <c r="D41" s="1" t="s">
        <v>163</v>
      </c>
      <c r="E41" s="1" t="s">
        <v>164</v>
      </c>
      <c r="F41" s="1">
        <v>0.38700000000000001</v>
      </c>
      <c r="G41" s="1"/>
    </row>
    <row r="42" spans="1:11" ht="15.75" customHeight="1" x14ac:dyDescent="0.2">
      <c r="A42" s="1" t="s">
        <v>165</v>
      </c>
      <c r="B42" s="1" t="s">
        <v>166</v>
      </c>
      <c r="C42" s="2">
        <v>0.436</v>
      </c>
      <c r="D42" s="1" t="s">
        <v>167</v>
      </c>
      <c r="E42" s="1" t="s">
        <v>168</v>
      </c>
      <c r="F42" s="1">
        <v>0.42799999999999999</v>
      </c>
    </row>
    <row r="43" spans="1:11" ht="15.75" customHeight="1" x14ac:dyDescent="0.2">
      <c r="A43" s="1" t="s">
        <v>169</v>
      </c>
      <c r="B43" s="1" t="s">
        <v>170</v>
      </c>
      <c r="C43" s="2">
        <v>0.41699999999999998</v>
      </c>
      <c r="D43" s="1" t="s">
        <v>171</v>
      </c>
      <c r="E43" s="1" t="s">
        <v>172</v>
      </c>
      <c r="F43" s="1">
        <v>0.435</v>
      </c>
    </row>
    <row r="44" spans="1:11" ht="15.75" customHeight="1" x14ac:dyDescent="0.2">
      <c r="A44" s="1" t="s">
        <v>173</v>
      </c>
      <c r="B44" s="1" t="s">
        <v>174</v>
      </c>
      <c r="C44" s="2">
        <v>0.4</v>
      </c>
      <c r="D44" s="1" t="s">
        <v>175</v>
      </c>
      <c r="E44" s="1" t="s">
        <v>176</v>
      </c>
      <c r="F44" s="1">
        <v>0.41299999999999998</v>
      </c>
    </row>
    <row r="45" spans="1:11" ht="15.75" customHeight="1" x14ac:dyDescent="0.2">
      <c r="A45" s="1" t="s">
        <v>177</v>
      </c>
      <c r="B45" s="1" t="s">
        <v>178</v>
      </c>
      <c r="C45" s="2">
        <v>0.41399999999999998</v>
      </c>
      <c r="D45" s="1" t="s">
        <v>179</v>
      </c>
      <c r="E45" s="1" t="s">
        <v>180</v>
      </c>
      <c r="F45" s="1">
        <v>0.439</v>
      </c>
    </row>
    <row r="46" spans="1:11" ht="15.75" customHeight="1" x14ac:dyDescent="0.2">
      <c r="A46" s="1" t="s">
        <v>181</v>
      </c>
      <c r="B46" s="1" t="s">
        <v>182</v>
      </c>
      <c r="C46" s="2">
        <v>0.437</v>
      </c>
      <c r="D46" s="1" t="s">
        <v>183</v>
      </c>
      <c r="E46" s="1" t="s">
        <v>184</v>
      </c>
      <c r="F46" s="1">
        <v>0.4</v>
      </c>
    </row>
    <row r="47" spans="1:11" ht="15.75" customHeight="1" x14ac:dyDescent="0.2">
      <c r="A47" s="1" t="s">
        <v>185</v>
      </c>
      <c r="B47" s="1" t="s">
        <v>186</v>
      </c>
      <c r="C47" s="2">
        <v>0.40200000000000002</v>
      </c>
      <c r="D47" s="1" t="s">
        <v>187</v>
      </c>
      <c r="E47" s="10" t="s">
        <v>188</v>
      </c>
      <c r="F47" s="10">
        <v>0.41799999999999998</v>
      </c>
      <c r="G47" s="4"/>
      <c r="H47" s="4"/>
      <c r="I47" s="6"/>
      <c r="J47" s="6"/>
    </row>
    <row r="48" spans="1:11" ht="15.75" customHeight="1" x14ac:dyDescent="0.2">
      <c r="A48" s="1" t="s">
        <v>189</v>
      </c>
      <c r="B48" s="1" t="s">
        <v>190</v>
      </c>
      <c r="C48" s="2">
        <v>0.38500000000000001</v>
      </c>
      <c r="D48" s="1" t="s">
        <v>191</v>
      </c>
      <c r="E48" s="10" t="s">
        <v>192</v>
      </c>
      <c r="F48" s="5">
        <v>0.438</v>
      </c>
      <c r="G48" s="4"/>
      <c r="H48" s="6"/>
      <c r="I48" s="6"/>
      <c r="J48" s="6"/>
      <c r="K48" s="6"/>
    </row>
    <row r="49" spans="1:6" ht="15.75" customHeight="1" x14ac:dyDescent="0.2">
      <c r="A49" s="1" t="s">
        <v>193</v>
      </c>
      <c r="B49" s="1" t="s">
        <v>194</v>
      </c>
      <c r="C49" s="2">
        <v>0.42499999999999999</v>
      </c>
      <c r="D49" s="1" t="s">
        <v>195</v>
      </c>
      <c r="E49" s="10" t="s">
        <v>196</v>
      </c>
      <c r="F49" s="10">
        <v>0.38600000000000001</v>
      </c>
    </row>
    <row r="50" spans="1:6" ht="15.75" customHeight="1" x14ac:dyDescent="0.2">
      <c r="C50" s="2"/>
    </row>
    <row r="51" spans="1:6" ht="15.75" customHeight="1" x14ac:dyDescent="0.2">
      <c r="C51" s="2"/>
    </row>
    <row r="52" spans="1:6" ht="15.75" customHeight="1" x14ac:dyDescent="0.2">
      <c r="C52" s="2"/>
    </row>
    <row r="53" spans="1:6" ht="15.75" customHeight="1" x14ac:dyDescent="0.2">
      <c r="C53" s="2"/>
    </row>
    <row r="54" spans="1:6" ht="15.75" customHeight="1" x14ac:dyDescent="0.2">
      <c r="C54" s="2"/>
    </row>
    <row r="55" spans="1:6" ht="15.75" customHeight="1" x14ac:dyDescent="0.2">
      <c r="C55" s="2"/>
    </row>
    <row r="56" spans="1:6" ht="15.75" customHeight="1" x14ac:dyDescent="0.2">
      <c r="C56" s="2"/>
    </row>
    <row r="57" spans="1:6" ht="15.75" customHeight="1" x14ac:dyDescent="0.2">
      <c r="C57" s="2"/>
    </row>
    <row r="58" spans="1:6" ht="15.75" customHeight="1" x14ac:dyDescent="0.2">
      <c r="C58" s="2"/>
    </row>
    <row r="59" spans="1:6" ht="15.75" customHeight="1" x14ac:dyDescent="0.2">
      <c r="C59" s="2"/>
    </row>
    <row r="60" spans="1:6" ht="15.75" customHeight="1" x14ac:dyDescent="0.2">
      <c r="C60" s="2"/>
    </row>
    <row r="61" spans="1:6" ht="15.75" customHeight="1" x14ac:dyDescent="0.2">
      <c r="C61" s="2"/>
    </row>
    <row r="62" spans="1:6" ht="15.75" customHeight="1" x14ac:dyDescent="0.2">
      <c r="C62" s="2"/>
    </row>
    <row r="63" spans="1:6" ht="15.75" customHeight="1" x14ac:dyDescent="0.2">
      <c r="C63" s="2"/>
    </row>
    <row r="64" spans="1:6" ht="15.75" customHeight="1" x14ac:dyDescent="0.2">
      <c r="C64" s="2"/>
    </row>
    <row r="65" spans="3:3" ht="15.75" customHeight="1" x14ac:dyDescent="0.2">
      <c r="C65" s="2"/>
    </row>
    <row r="66" spans="3:3" ht="15.75" customHeight="1" x14ac:dyDescent="0.2">
      <c r="C66" s="2"/>
    </row>
    <row r="67" spans="3:3" ht="15.75" customHeight="1" x14ac:dyDescent="0.2">
      <c r="C67" s="2"/>
    </row>
    <row r="68" spans="3:3" ht="15.75" customHeight="1" x14ac:dyDescent="0.2">
      <c r="C68" s="2"/>
    </row>
    <row r="69" spans="3:3" ht="15.75" customHeight="1" x14ac:dyDescent="0.2">
      <c r="C69" s="2"/>
    </row>
    <row r="70" spans="3:3" ht="15.75" customHeight="1" x14ac:dyDescent="0.2">
      <c r="C70" s="2"/>
    </row>
    <row r="71" spans="3:3" ht="15.75" customHeight="1" x14ac:dyDescent="0.2">
      <c r="C71" s="2"/>
    </row>
    <row r="72" spans="3:3" ht="15.75" customHeight="1" x14ac:dyDescent="0.2">
      <c r="C72" s="2"/>
    </row>
    <row r="73" spans="3:3" ht="15.75" customHeight="1" x14ac:dyDescent="0.2">
      <c r="C73" s="2"/>
    </row>
    <row r="74" spans="3:3" ht="15.75" customHeight="1" x14ac:dyDescent="0.2">
      <c r="C74" s="2"/>
    </row>
    <row r="75" spans="3:3" ht="15.75" customHeight="1" x14ac:dyDescent="0.2">
      <c r="C75" s="2"/>
    </row>
    <row r="76" spans="3:3" ht="15.75" customHeight="1" x14ac:dyDescent="0.2">
      <c r="C76" s="2"/>
    </row>
    <row r="77" spans="3:3" ht="15.75" customHeight="1" x14ac:dyDescent="0.2">
      <c r="C77" s="2"/>
    </row>
    <row r="78" spans="3:3" ht="15.75" customHeight="1" x14ac:dyDescent="0.2">
      <c r="C78" s="2"/>
    </row>
    <row r="79" spans="3:3" ht="15.75" customHeight="1" x14ac:dyDescent="0.2">
      <c r="C79" s="2"/>
    </row>
    <row r="80" spans="3:3" ht="15.75" customHeight="1" x14ac:dyDescent="0.2">
      <c r="C80" s="2"/>
    </row>
    <row r="81" spans="3:3" ht="15.75" customHeight="1" x14ac:dyDescent="0.2">
      <c r="C81" s="2"/>
    </row>
    <row r="82" spans="3:3" ht="15.75" customHeight="1" x14ac:dyDescent="0.2">
      <c r="C82" s="2"/>
    </row>
    <row r="83" spans="3:3" ht="15.75" customHeight="1" x14ac:dyDescent="0.2">
      <c r="C83" s="2"/>
    </row>
    <row r="84" spans="3:3" ht="15.75" customHeight="1" x14ac:dyDescent="0.2">
      <c r="C84" s="2"/>
    </row>
    <row r="85" spans="3:3" ht="15.75" customHeight="1" x14ac:dyDescent="0.2">
      <c r="C85" s="2"/>
    </row>
    <row r="86" spans="3:3" ht="15.75" customHeight="1" x14ac:dyDescent="0.2">
      <c r="C86" s="2"/>
    </row>
    <row r="87" spans="3:3" ht="15.75" customHeight="1" x14ac:dyDescent="0.2">
      <c r="C87" s="2"/>
    </row>
    <row r="88" spans="3:3" ht="15.75" customHeight="1" x14ac:dyDescent="0.2">
      <c r="C88" s="2"/>
    </row>
    <row r="89" spans="3:3" ht="15.75" customHeight="1" x14ac:dyDescent="0.2">
      <c r="C89" s="2"/>
    </row>
    <row r="90" spans="3:3" ht="15.75" customHeight="1" x14ac:dyDescent="0.2">
      <c r="C90" s="2"/>
    </row>
    <row r="91" spans="3:3" ht="15.75" customHeight="1" x14ac:dyDescent="0.2">
      <c r="C91" s="2"/>
    </row>
    <row r="92" spans="3:3" ht="15.75" customHeight="1" x14ac:dyDescent="0.2">
      <c r="C92" s="2"/>
    </row>
    <row r="93" spans="3:3" ht="15.75" customHeight="1" x14ac:dyDescent="0.2">
      <c r="C93" s="2"/>
    </row>
    <row r="94" spans="3:3" ht="15.75" customHeight="1" x14ac:dyDescent="0.2">
      <c r="C94" s="2"/>
    </row>
    <row r="95" spans="3:3" ht="15.75" customHeight="1" x14ac:dyDescent="0.2">
      <c r="C95" s="2"/>
    </row>
    <row r="96" spans="3:3" ht="15.75" customHeight="1" x14ac:dyDescent="0.2">
      <c r="C96" s="2"/>
    </row>
    <row r="97" spans="3:3" ht="15.75" customHeight="1" x14ac:dyDescent="0.2">
      <c r="C97" s="2"/>
    </row>
    <row r="98" spans="3:3" ht="15.75" customHeight="1" x14ac:dyDescent="0.2">
      <c r="C98" s="2"/>
    </row>
    <row r="99" spans="3:3" ht="15.75" customHeight="1" x14ac:dyDescent="0.2">
      <c r="C99" s="2"/>
    </row>
    <row r="100" spans="3:3" ht="15.75" customHeight="1" x14ac:dyDescent="0.2">
      <c r="C100" s="2"/>
    </row>
    <row r="101" spans="3:3" ht="15.75" customHeight="1" x14ac:dyDescent="0.2">
      <c r="C101" s="2"/>
    </row>
    <row r="102" spans="3:3" ht="15.75" customHeight="1" x14ac:dyDescent="0.2">
      <c r="C102" s="2"/>
    </row>
    <row r="103" spans="3:3" ht="15.75" customHeight="1" x14ac:dyDescent="0.2">
      <c r="C103" s="2"/>
    </row>
    <row r="104" spans="3:3" ht="15.75" customHeight="1" x14ac:dyDescent="0.2">
      <c r="C104" s="2"/>
    </row>
    <row r="105" spans="3:3" ht="15.75" customHeight="1" x14ac:dyDescent="0.2">
      <c r="C105" s="2"/>
    </row>
    <row r="106" spans="3:3" ht="15.75" customHeight="1" x14ac:dyDescent="0.2">
      <c r="C106" s="2"/>
    </row>
    <row r="107" spans="3:3" ht="15.75" customHeight="1" x14ac:dyDescent="0.2">
      <c r="C107" s="2"/>
    </row>
    <row r="108" spans="3:3" ht="15.75" customHeight="1" x14ac:dyDescent="0.2">
      <c r="C108" s="2"/>
    </row>
    <row r="109" spans="3:3" ht="15.75" customHeight="1" x14ac:dyDescent="0.2">
      <c r="C109" s="2"/>
    </row>
    <row r="110" spans="3:3" ht="15.75" customHeight="1" x14ac:dyDescent="0.2">
      <c r="C110" s="2"/>
    </row>
    <row r="111" spans="3:3" ht="15.75" customHeight="1" x14ac:dyDescent="0.2">
      <c r="C111" s="2"/>
    </row>
    <row r="112" spans="3:3" ht="15.75" customHeight="1" x14ac:dyDescent="0.2">
      <c r="C112" s="2"/>
    </row>
    <row r="113" spans="3:3" ht="15.75" customHeight="1" x14ac:dyDescent="0.2">
      <c r="C113" s="2"/>
    </row>
    <row r="114" spans="3:3" ht="15.75" customHeight="1" x14ac:dyDescent="0.2">
      <c r="C114" s="2"/>
    </row>
    <row r="115" spans="3:3" ht="15.75" customHeight="1" x14ac:dyDescent="0.2">
      <c r="C115" s="2"/>
    </row>
    <row r="116" spans="3:3" ht="15.75" customHeight="1" x14ac:dyDescent="0.2">
      <c r="C116" s="2"/>
    </row>
    <row r="117" spans="3:3" ht="15.75" customHeight="1" x14ac:dyDescent="0.2">
      <c r="C117" s="2"/>
    </row>
    <row r="118" spans="3:3" ht="15.75" customHeight="1" x14ac:dyDescent="0.2">
      <c r="C118" s="2"/>
    </row>
    <row r="119" spans="3:3" ht="15.75" customHeight="1" x14ac:dyDescent="0.2">
      <c r="C119" s="2"/>
    </row>
    <row r="120" spans="3:3" ht="15.75" customHeight="1" x14ac:dyDescent="0.2">
      <c r="C120" s="2"/>
    </row>
    <row r="121" spans="3:3" ht="15.75" customHeight="1" x14ac:dyDescent="0.2">
      <c r="C121" s="2"/>
    </row>
    <row r="122" spans="3:3" ht="15.75" customHeight="1" x14ac:dyDescent="0.2">
      <c r="C122" s="2"/>
    </row>
    <row r="123" spans="3:3" ht="15.75" customHeight="1" x14ac:dyDescent="0.2">
      <c r="C123" s="2"/>
    </row>
    <row r="124" spans="3:3" ht="15.75" customHeight="1" x14ac:dyDescent="0.2">
      <c r="C124" s="2"/>
    </row>
    <row r="125" spans="3:3" ht="15.75" customHeight="1" x14ac:dyDescent="0.2">
      <c r="C125" s="2"/>
    </row>
    <row r="126" spans="3:3" ht="15.75" customHeight="1" x14ac:dyDescent="0.2">
      <c r="C126" s="2"/>
    </row>
    <row r="127" spans="3:3" ht="15.75" customHeight="1" x14ac:dyDescent="0.2">
      <c r="C127" s="2"/>
    </row>
    <row r="128" spans="3:3" ht="15.75" customHeight="1" x14ac:dyDescent="0.2">
      <c r="C128" s="2"/>
    </row>
    <row r="129" spans="3:3" ht="15.75" customHeight="1" x14ac:dyDescent="0.2">
      <c r="C129" s="2"/>
    </row>
    <row r="130" spans="3:3" ht="15.75" customHeight="1" x14ac:dyDescent="0.2">
      <c r="C130" s="2"/>
    </row>
    <row r="131" spans="3:3" ht="15.75" customHeight="1" x14ac:dyDescent="0.2">
      <c r="C131" s="2"/>
    </row>
    <row r="132" spans="3:3" ht="15.75" customHeight="1" x14ac:dyDescent="0.2">
      <c r="C132" s="2"/>
    </row>
    <row r="133" spans="3:3" ht="15.75" customHeight="1" x14ac:dyDescent="0.2">
      <c r="C133" s="2"/>
    </row>
    <row r="134" spans="3:3" ht="15.75" customHeight="1" x14ac:dyDescent="0.2">
      <c r="C134" s="2"/>
    </row>
    <row r="135" spans="3:3" ht="15.75" customHeight="1" x14ac:dyDescent="0.2">
      <c r="C135" s="2"/>
    </row>
    <row r="136" spans="3:3" ht="15.75" customHeight="1" x14ac:dyDescent="0.2">
      <c r="C136" s="2"/>
    </row>
    <row r="137" spans="3:3" ht="15.75" customHeight="1" x14ac:dyDescent="0.2">
      <c r="C137" s="2"/>
    </row>
    <row r="138" spans="3:3" ht="15.75" customHeight="1" x14ac:dyDescent="0.2">
      <c r="C138" s="2"/>
    </row>
    <row r="139" spans="3:3" ht="15.75" customHeight="1" x14ac:dyDescent="0.2">
      <c r="C139" s="2"/>
    </row>
    <row r="140" spans="3:3" ht="15.75" customHeight="1" x14ac:dyDescent="0.2">
      <c r="C140" s="2"/>
    </row>
    <row r="141" spans="3:3" ht="15.75" customHeight="1" x14ac:dyDescent="0.2">
      <c r="C141" s="2"/>
    </row>
    <row r="142" spans="3:3" ht="15.75" customHeight="1" x14ac:dyDescent="0.2">
      <c r="C142" s="2"/>
    </row>
    <row r="143" spans="3:3" ht="15.75" customHeight="1" x14ac:dyDescent="0.2">
      <c r="C143" s="2"/>
    </row>
    <row r="144" spans="3:3" ht="15.75" customHeight="1" x14ac:dyDescent="0.2">
      <c r="C144" s="2"/>
    </row>
    <row r="145" spans="3:3" ht="15.75" customHeight="1" x14ac:dyDescent="0.2">
      <c r="C145" s="2"/>
    </row>
    <row r="146" spans="3:3" ht="15.75" customHeight="1" x14ac:dyDescent="0.2">
      <c r="C146" s="2"/>
    </row>
    <row r="147" spans="3:3" ht="15.75" customHeight="1" x14ac:dyDescent="0.2">
      <c r="C147" s="2"/>
    </row>
    <row r="148" spans="3:3" ht="15.75" customHeight="1" x14ac:dyDescent="0.2">
      <c r="C148" s="2"/>
    </row>
    <row r="149" spans="3:3" ht="15.75" customHeight="1" x14ac:dyDescent="0.2">
      <c r="C149" s="2"/>
    </row>
    <row r="150" spans="3:3" ht="15.75" customHeight="1" x14ac:dyDescent="0.2">
      <c r="C150" s="2"/>
    </row>
    <row r="151" spans="3:3" ht="15.75" customHeight="1" x14ac:dyDescent="0.2">
      <c r="C151" s="2"/>
    </row>
    <row r="152" spans="3:3" ht="15.75" customHeight="1" x14ac:dyDescent="0.2">
      <c r="C152" s="2"/>
    </row>
    <row r="153" spans="3:3" ht="15.75" customHeight="1" x14ac:dyDescent="0.2">
      <c r="C153" s="2"/>
    </row>
    <row r="154" spans="3:3" ht="15.75" customHeight="1" x14ac:dyDescent="0.2">
      <c r="C154" s="2"/>
    </row>
    <row r="155" spans="3:3" ht="15.75" customHeight="1" x14ac:dyDescent="0.2">
      <c r="C155" s="2"/>
    </row>
    <row r="156" spans="3:3" ht="15.75" customHeight="1" x14ac:dyDescent="0.2">
      <c r="C156" s="2"/>
    </row>
    <row r="157" spans="3:3" ht="15.75" customHeight="1" x14ac:dyDescent="0.2">
      <c r="C157" s="2"/>
    </row>
    <row r="158" spans="3:3" ht="15.75" customHeight="1" x14ac:dyDescent="0.2">
      <c r="C158" s="2"/>
    </row>
    <row r="159" spans="3:3" ht="15.75" customHeight="1" x14ac:dyDescent="0.2">
      <c r="C159" s="2"/>
    </row>
    <row r="160" spans="3:3" ht="15.75" customHeight="1" x14ac:dyDescent="0.2">
      <c r="C160" s="2"/>
    </row>
    <row r="161" spans="3:3" ht="15.75" customHeight="1" x14ac:dyDescent="0.2">
      <c r="C161" s="2"/>
    </row>
    <row r="162" spans="3:3" ht="15.75" customHeight="1" x14ac:dyDescent="0.2">
      <c r="C162" s="2"/>
    </row>
    <row r="163" spans="3:3" ht="15.75" customHeight="1" x14ac:dyDescent="0.2">
      <c r="C163" s="2"/>
    </row>
    <row r="164" spans="3:3" ht="15.75" customHeight="1" x14ac:dyDescent="0.2">
      <c r="C164" s="2"/>
    </row>
    <row r="165" spans="3:3" ht="15.75" customHeight="1" x14ac:dyDescent="0.2">
      <c r="C165" s="2"/>
    </row>
    <row r="166" spans="3:3" ht="15.75" customHeight="1" x14ac:dyDescent="0.2">
      <c r="C166" s="2"/>
    </row>
    <row r="167" spans="3:3" ht="15.75" customHeight="1" x14ac:dyDescent="0.2">
      <c r="C167" s="2"/>
    </row>
    <row r="168" spans="3:3" ht="15.75" customHeight="1" x14ac:dyDescent="0.2">
      <c r="C168" s="2"/>
    </row>
    <row r="169" spans="3:3" ht="15.75" customHeight="1" x14ac:dyDescent="0.2">
      <c r="C169" s="2"/>
    </row>
    <row r="170" spans="3:3" ht="15.75" customHeight="1" x14ac:dyDescent="0.2">
      <c r="C170" s="2"/>
    </row>
    <row r="171" spans="3:3" ht="15.75" customHeight="1" x14ac:dyDescent="0.2">
      <c r="C171" s="2"/>
    </row>
    <row r="172" spans="3:3" ht="15.75" customHeight="1" x14ac:dyDescent="0.2">
      <c r="C172" s="2"/>
    </row>
    <row r="173" spans="3:3" ht="15.75" customHeight="1" x14ac:dyDescent="0.2">
      <c r="C173" s="2"/>
    </row>
    <row r="174" spans="3:3" ht="15.75" customHeight="1" x14ac:dyDescent="0.2">
      <c r="C174" s="2"/>
    </row>
    <row r="175" spans="3:3" ht="15.75" customHeight="1" x14ac:dyDescent="0.2">
      <c r="C175" s="2"/>
    </row>
    <row r="176" spans="3:3" ht="15.75" customHeight="1" x14ac:dyDescent="0.2">
      <c r="C176" s="2"/>
    </row>
    <row r="177" spans="3:3" ht="15.75" customHeight="1" x14ac:dyDescent="0.2">
      <c r="C177" s="2"/>
    </row>
    <row r="178" spans="3:3" ht="15.75" customHeight="1" x14ac:dyDescent="0.2">
      <c r="C178" s="2"/>
    </row>
    <row r="179" spans="3:3" ht="15.75" customHeight="1" x14ac:dyDescent="0.2">
      <c r="C179" s="2"/>
    </row>
    <row r="180" spans="3:3" ht="15.75" customHeight="1" x14ac:dyDescent="0.2">
      <c r="C180" s="2"/>
    </row>
    <row r="181" spans="3:3" ht="15.75" customHeight="1" x14ac:dyDescent="0.2">
      <c r="C181" s="2"/>
    </row>
    <row r="182" spans="3:3" ht="15.75" customHeight="1" x14ac:dyDescent="0.2">
      <c r="C182" s="2"/>
    </row>
    <row r="183" spans="3:3" ht="15.75" customHeight="1" x14ac:dyDescent="0.2">
      <c r="C183" s="2"/>
    </row>
    <row r="184" spans="3:3" ht="15.75" customHeight="1" x14ac:dyDescent="0.2">
      <c r="C184" s="2"/>
    </row>
    <row r="185" spans="3:3" ht="15.75" customHeight="1" x14ac:dyDescent="0.2">
      <c r="C185" s="2"/>
    </row>
    <row r="186" spans="3:3" ht="15.75" customHeight="1" x14ac:dyDescent="0.2">
      <c r="C186" s="2"/>
    </row>
    <row r="187" spans="3:3" ht="15.75" customHeight="1" x14ac:dyDescent="0.2">
      <c r="C187" s="2"/>
    </row>
    <row r="188" spans="3:3" ht="15.75" customHeight="1" x14ac:dyDescent="0.2">
      <c r="C188" s="2"/>
    </row>
    <row r="189" spans="3:3" ht="15.75" customHeight="1" x14ac:dyDescent="0.2">
      <c r="C189" s="2"/>
    </row>
    <row r="190" spans="3:3" ht="15.75" customHeight="1" x14ac:dyDescent="0.2">
      <c r="C190" s="2"/>
    </row>
    <row r="191" spans="3:3" ht="15.75" customHeight="1" x14ac:dyDescent="0.2">
      <c r="C191" s="2"/>
    </row>
    <row r="192" spans="3:3" ht="15.75" customHeight="1" x14ac:dyDescent="0.2">
      <c r="C192" s="2"/>
    </row>
    <row r="193" spans="3:3" ht="15.75" customHeight="1" x14ac:dyDescent="0.2">
      <c r="C193" s="2"/>
    </row>
    <row r="194" spans="3:3" ht="15.75" customHeight="1" x14ac:dyDescent="0.2">
      <c r="C194" s="2"/>
    </row>
    <row r="195" spans="3:3" ht="15.75" customHeight="1" x14ac:dyDescent="0.2">
      <c r="C195" s="2"/>
    </row>
    <row r="196" spans="3:3" ht="15.75" customHeight="1" x14ac:dyDescent="0.2">
      <c r="C196" s="2"/>
    </row>
    <row r="197" spans="3:3" ht="15.75" customHeight="1" x14ac:dyDescent="0.2">
      <c r="C197" s="2"/>
    </row>
    <row r="198" spans="3:3" ht="15.75" customHeight="1" x14ac:dyDescent="0.2">
      <c r="C198" s="2"/>
    </row>
    <row r="199" spans="3:3" ht="15.75" customHeight="1" x14ac:dyDescent="0.2">
      <c r="C199" s="2"/>
    </row>
    <row r="200" spans="3:3" ht="15.75" customHeight="1" x14ac:dyDescent="0.2">
      <c r="C200" s="2"/>
    </row>
    <row r="201" spans="3:3" ht="15.75" customHeight="1" x14ac:dyDescent="0.2">
      <c r="C201" s="2"/>
    </row>
    <row r="202" spans="3:3" ht="15.75" customHeight="1" x14ac:dyDescent="0.2">
      <c r="C202" s="2"/>
    </row>
    <row r="203" spans="3:3" ht="15.75" customHeight="1" x14ac:dyDescent="0.2">
      <c r="C203" s="2"/>
    </row>
    <row r="204" spans="3:3" ht="15.75" customHeight="1" x14ac:dyDescent="0.2">
      <c r="C204" s="2"/>
    </row>
    <row r="205" spans="3:3" ht="15.75" customHeight="1" x14ac:dyDescent="0.2">
      <c r="C205" s="2"/>
    </row>
    <row r="206" spans="3:3" ht="15.75" customHeight="1" x14ac:dyDescent="0.2">
      <c r="C206" s="2"/>
    </row>
    <row r="207" spans="3:3" ht="15.75" customHeight="1" x14ac:dyDescent="0.2">
      <c r="C207" s="2"/>
    </row>
    <row r="208" spans="3:3" ht="15.75" customHeight="1" x14ac:dyDescent="0.2">
      <c r="C208" s="2"/>
    </row>
    <row r="209" spans="3:3" ht="15.75" customHeight="1" x14ac:dyDescent="0.2">
      <c r="C209" s="2"/>
    </row>
    <row r="210" spans="3:3" ht="15.75" customHeight="1" x14ac:dyDescent="0.2">
      <c r="C210" s="2"/>
    </row>
    <row r="211" spans="3:3" ht="15.75" customHeight="1" x14ac:dyDescent="0.2">
      <c r="C211" s="2"/>
    </row>
    <row r="212" spans="3:3" ht="15.75" customHeight="1" x14ac:dyDescent="0.2">
      <c r="C212" s="2"/>
    </row>
    <row r="213" spans="3:3" ht="15.75" customHeight="1" x14ac:dyDescent="0.2">
      <c r="C213" s="2"/>
    </row>
    <row r="214" spans="3:3" ht="15.75" customHeight="1" x14ac:dyDescent="0.2">
      <c r="C214" s="2"/>
    </row>
    <row r="215" spans="3:3" ht="15.75" customHeight="1" x14ac:dyDescent="0.2">
      <c r="C215" s="2"/>
    </row>
    <row r="216" spans="3:3" ht="15.75" customHeight="1" x14ac:dyDescent="0.2">
      <c r="C216" s="2"/>
    </row>
    <row r="217" spans="3:3" ht="15.75" customHeight="1" x14ac:dyDescent="0.2">
      <c r="C217" s="2"/>
    </row>
    <row r="218" spans="3:3" ht="15.75" customHeight="1" x14ac:dyDescent="0.2">
      <c r="C218" s="2"/>
    </row>
    <row r="219" spans="3:3" ht="15.75" customHeight="1" x14ac:dyDescent="0.2">
      <c r="C219" s="2"/>
    </row>
    <row r="220" spans="3:3" ht="15.75" customHeight="1" x14ac:dyDescent="0.2">
      <c r="C220" s="2"/>
    </row>
    <row r="221" spans="3:3" ht="15.75" customHeight="1" x14ac:dyDescent="0.2">
      <c r="C221" s="2"/>
    </row>
    <row r="222" spans="3:3" ht="15.75" customHeight="1" x14ac:dyDescent="0.2">
      <c r="C222" s="2"/>
    </row>
    <row r="223" spans="3:3" ht="15.75" customHeight="1" x14ac:dyDescent="0.2">
      <c r="C223" s="2"/>
    </row>
    <row r="224" spans="3:3" ht="15.75" customHeight="1" x14ac:dyDescent="0.2">
      <c r="C224" s="2"/>
    </row>
    <row r="225" spans="3:3" ht="15.75" customHeight="1" x14ac:dyDescent="0.2">
      <c r="C225" s="2"/>
    </row>
    <row r="226" spans="3:3" ht="15.75" customHeight="1" x14ac:dyDescent="0.2">
      <c r="C226" s="2"/>
    </row>
    <row r="227" spans="3:3" ht="15.75" customHeight="1" x14ac:dyDescent="0.2">
      <c r="C227" s="2"/>
    </row>
    <row r="228" spans="3:3" ht="15.75" customHeight="1" x14ac:dyDescent="0.2">
      <c r="C228" s="2"/>
    </row>
    <row r="229" spans="3:3" ht="15.75" customHeight="1" x14ac:dyDescent="0.2">
      <c r="C229" s="2"/>
    </row>
    <row r="230" spans="3:3" ht="15.75" customHeight="1" x14ac:dyDescent="0.2">
      <c r="C230" s="2"/>
    </row>
    <row r="231" spans="3:3" ht="15.75" customHeight="1" x14ac:dyDescent="0.2">
      <c r="C231" s="2"/>
    </row>
    <row r="232" spans="3:3" ht="15.75" customHeight="1" x14ac:dyDescent="0.2">
      <c r="C232" s="2"/>
    </row>
    <row r="233" spans="3:3" ht="15.75" customHeight="1" x14ac:dyDescent="0.2">
      <c r="C233" s="2"/>
    </row>
    <row r="234" spans="3:3" ht="15.75" customHeight="1" x14ac:dyDescent="0.2">
      <c r="C234" s="2"/>
    </row>
    <row r="235" spans="3:3" ht="15.75" customHeight="1" x14ac:dyDescent="0.2">
      <c r="C235" s="2"/>
    </row>
    <row r="236" spans="3:3" ht="15.75" customHeight="1" x14ac:dyDescent="0.2">
      <c r="C236" s="2"/>
    </row>
    <row r="237" spans="3:3" ht="15.75" customHeight="1" x14ac:dyDescent="0.2">
      <c r="C237" s="2"/>
    </row>
    <row r="238" spans="3:3" ht="15.75" customHeight="1" x14ac:dyDescent="0.2">
      <c r="C238" s="2"/>
    </row>
    <row r="239" spans="3:3" ht="15.75" customHeight="1" x14ac:dyDescent="0.2">
      <c r="C239" s="2"/>
    </row>
    <row r="240" spans="3:3" ht="15.75" customHeight="1" x14ac:dyDescent="0.2">
      <c r="C240" s="2"/>
    </row>
    <row r="241" spans="3:3" ht="15.75" customHeight="1" x14ac:dyDescent="0.2">
      <c r="C241" s="2"/>
    </row>
    <row r="242" spans="3:3" ht="15.75" customHeight="1" x14ac:dyDescent="0.2">
      <c r="C242" s="2"/>
    </row>
    <row r="243" spans="3:3" ht="15.75" customHeight="1" x14ac:dyDescent="0.2">
      <c r="C243" s="2"/>
    </row>
    <row r="244" spans="3:3" ht="15.75" customHeight="1" x14ac:dyDescent="0.2">
      <c r="C244" s="2"/>
    </row>
    <row r="245" spans="3:3" ht="15.75" customHeight="1" x14ac:dyDescent="0.2">
      <c r="C245" s="2"/>
    </row>
    <row r="246" spans="3:3" ht="15.75" customHeight="1" x14ac:dyDescent="0.2">
      <c r="C246" s="2"/>
    </row>
    <row r="247" spans="3:3" ht="15.75" customHeight="1" x14ac:dyDescent="0.2">
      <c r="C247" s="2"/>
    </row>
    <row r="248" spans="3:3" ht="15.75" customHeight="1" x14ac:dyDescent="0.2">
      <c r="C248" s="2"/>
    </row>
    <row r="249" spans="3:3" ht="15.75" customHeight="1" x14ac:dyDescent="0.2">
      <c r="C249" s="2"/>
    </row>
    <row r="250" spans="3:3" ht="15.75" customHeight="1" x14ac:dyDescent="0.2"/>
    <row r="251" spans="3:3" ht="15.75" customHeight="1" x14ac:dyDescent="0.2"/>
    <row r="252" spans="3:3" ht="15.75" customHeight="1" x14ac:dyDescent="0.2"/>
    <row r="253" spans="3:3" ht="15.75" customHeight="1" x14ac:dyDescent="0.2"/>
    <row r="254" spans="3:3" ht="15.75" customHeight="1" x14ac:dyDescent="0.2"/>
    <row r="255" spans="3:3" ht="15.75" customHeight="1" x14ac:dyDescent="0.2"/>
    <row r="256" spans="3:3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8"/>
  <sheetViews>
    <sheetView tabSelected="1" workbookViewId="0">
      <selection activeCell="D2" sqref="D2"/>
    </sheetView>
  </sheetViews>
  <sheetFormatPr baseColWidth="10" defaultColWidth="9.140625" defaultRowHeight="12.75" x14ac:dyDescent="0.2"/>
  <cols>
    <col min="4" max="4" width="8.7109375" style="28"/>
    <col min="5" max="5" width="15.42578125" style="20" bestFit="1" customWidth="1"/>
  </cols>
  <sheetData>
    <row r="1" spans="2:5" ht="14.25" x14ac:dyDescent="0.2">
      <c r="C1" t="s">
        <v>388</v>
      </c>
      <c r="D1" s="28" t="s">
        <v>385</v>
      </c>
      <c r="E1" s="23" t="s">
        <v>386</v>
      </c>
    </row>
    <row r="2" spans="2:5" ht="15" x14ac:dyDescent="0.25">
      <c r="B2" s="1" t="s">
        <v>4</v>
      </c>
      <c r="C2" s="1" t="s">
        <v>5</v>
      </c>
      <c r="D2" s="29">
        <v>43.91</v>
      </c>
      <c r="E2" s="21">
        <v>-28.13</v>
      </c>
    </row>
    <row r="3" spans="2:5" ht="15" x14ac:dyDescent="0.25">
      <c r="B3" s="1" t="s">
        <v>11</v>
      </c>
      <c r="C3" s="1" t="s">
        <v>12</v>
      </c>
      <c r="D3" s="29">
        <v>42.81</v>
      </c>
      <c r="E3" s="21" t="s">
        <v>384</v>
      </c>
    </row>
    <row r="4" spans="2:5" ht="15" x14ac:dyDescent="0.25">
      <c r="B4" s="1" t="s">
        <v>15</v>
      </c>
      <c r="C4" s="1" t="s">
        <v>16</v>
      </c>
      <c r="D4" s="29">
        <v>42.13</v>
      </c>
      <c r="E4" s="21" t="s">
        <v>378</v>
      </c>
    </row>
    <row r="5" spans="2:5" ht="15" x14ac:dyDescent="0.25">
      <c r="B5" s="1" t="s">
        <v>19</v>
      </c>
      <c r="C5" s="1" t="s">
        <v>20</v>
      </c>
      <c r="D5" s="29">
        <v>42.73</v>
      </c>
      <c r="E5" s="21" t="s">
        <v>383</v>
      </c>
    </row>
    <row r="6" spans="2:5" ht="15" x14ac:dyDescent="0.25">
      <c r="B6" s="1" t="s">
        <v>23</v>
      </c>
      <c r="C6" s="1" t="s">
        <v>24</v>
      </c>
      <c r="D6" s="29">
        <v>41.85</v>
      </c>
      <c r="E6" s="21" t="s">
        <v>382</v>
      </c>
    </row>
    <row r="7" spans="2:5" ht="15" x14ac:dyDescent="0.25">
      <c r="B7" s="1" t="s">
        <v>27</v>
      </c>
      <c r="C7" s="1" t="s">
        <v>28</v>
      </c>
      <c r="D7" s="29">
        <v>42.98</v>
      </c>
      <c r="E7" s="21" t="s">
        <v>381</v>
      </c>
    </row>
    <row r="8" spans="2:5" ht="15" x14ac:dyDescent="0.25">
      <c r="B8" s="1" t="s">
        <v>31</v>
      </c>
      <c r="C8" s="1" t="s">
        <v>32</v>
      </c>
      <c r="D8" s="29">
        <v>41.99</v>
      </c>
      <c r="E8" s="21" t="s">
        <v>380</v>
      </c>
    </row>
    <row r="9" spans="2:5" ht="15" x14ac:dyDescent="0.25">
      <c r="B9" s="1" t="s">
        <v>35</v>
      </c>
      <c r="C9" s="1" t="s">
        <v>36</v>
      </c>
      <c r="D9" s="29">
        <v>47.75</v>
      </c>
      <c r="E9" s="21" t="s">
        <v>379</v>
      </c>
    </row>
    <row r="10" spans="2:5" ht="15" x14ac:dyDescent="0.25">
      <c r="B10" s="1" t="s">
        <v>39</v>
      </c>
      <c r="C10" s="1" t="s">
        <v>40</v>
      </c>
      <c r="D10" s="29">
        <v>43.16</v>
      </c>
      <c r="E10" s="21" t="s">
        <v>378</v>
      </c>
    </row>
    <row r="11" spans="2:5" ht="15" x14ac:dyDescent="0.25">
      <c r="B11" s="1" t="s">
        <v>43</v>
      </c>
      <c r="C11" s="1" t="s">
        <v>44</v>
      </c>
      <c r="D11" s="29">
        <v>43.6</v>
      </c>
      <c r="E11" s="21" t="s">
        <v>377</v>
      </c>
    </row>
    <row r="12" spans="2:5" ht="15" x14ac:dyDescent="0.25">
      <c r="B12" s="1" t="s">
        <v>47</v>
      </c>
      <c r="C12" s="1" t="s">
        <v>48</v>
      </c>
      <c r="D12" s="29">
        <v>42</v>
      </c>
      <c r="E12" s="21" t="s">
        <v>376</v>
      </c>
    </row>
    <row r="13" spans="2:5" ht="15" x14ac:dyDescent="0.25">
      <c r="B13" s="1" t="s">
        <v>51</v>
      </c>
      <c r="C13" s="1" t="s">
        <v>52</v>
      </c>
      <c r="D13" s="29">
        <v>43.2</v>
      </c>
      <c r="E13" s="21" t="s">
        <v>375</v>
      </c>
    </row>
    <row r="14" spans="2:5" ht="15" x14ac:dyDescent="0.25">
      <c r="B14" s="1" t="s">
        <v>55</v>
      </c>
      <c r="C14" s="1" t="s">
        <v>56</v>
      </c>
      <c r="D14" s="29">
        <v>43.71</v>
      </c>
      <c r="E14" s="21" t="s">
        <v>374</v>
      </c>
    </row>
    <row r="15" spans="2:5" ht="15" x14ac:dyDescent="0.25">
      <c r="B15" s="1" t="s">
        <v>59</v>
      </c>
      <c r="C15" s="1" t="s">
        <v>60</v>
      </c>
      <c r="D15" s="29">
        <v>43.59</v>
      </c>
      <c r="E15" s="21" t="s">
        <v>373</v>
      </c>
    </row>
    <row r="16" spans="2:5" ht="15" x14ac:dyDescent="0.25">
      <c r="B16" s="1" t="s">
        <v>63</v>
      </c>
      <c r="C16" s="1" t="s">
        <v>64</v>
      </c>
      <c r="D16" s="29">
        <v>43.66</v>
      </c>
      <c r="E16" s="21" t="s">
        <v>372</v>
      </c>
    </row>
    <row r="17" spans="2:5" ht="15" x14ac:dyDescent="0.25">
      <c r="B17" s="1" t="s">
        <v>67</v>
      </c>
      <c r="C17" s="1" t="s">
        <v>68</v>
      </c>
      <c r="D17" s="29">
        <v>45.97</v>
      </c>
      <c r="E17" s="21" t="s">
        <v>371</v>
      </c>
    </row>
    <row r="18" spans="2:5" ht="15" x14ac:dyDescent="0.25">
      <c r="B18" s="1" t="s">
        <v>71</v>
      </c>
      <c r="C18" s="1" t="s">
        <v>72</v>
      </c>
      <c r="D18" s="29">
        <v>43.5</v>
      </c>
      <c r="E18" s="21" t="s">
        <v>370</v>
      </c>
    </row>
    <row r="19" spans="2:5" ht="15" x14ac:dyDescent="0.25">
      <c r="B19" s="1" t="s">
        <v>75</v>
      </c>
      <c r="C19" s="1" t="s">
        <v>76</v>
      </c>
      <c r="D19" s="29">
        <v>43.8</v>
      </c>
      <c r="E19" s="21" t="s">
        <v>369</v>
      </c>
    </row>
    <row r="20" spans="2:5" ht="15" x14ac:dyDescent="0.25">
      <c r="B20" s="1" t="s">
        <v>79</v>
      </c>
      <c r="C20" s="1" t="s">
        <v>80</v>
      </c>
      <c r="D20" s="29">
        <v>40.08</v>
      </c>
      <c r="E20" s="21" t="s">
        <v>368</v>
      </c>
    </row>
    <row r="21" spans="2:5" ht="15" x14ac:dyDescent="0.25">
      <c r="B21" s="1" t="s">
        <v>83</v>
      </c>
      <c r="C21" s="1" t="s">
        <v>84</v>
      </c>
      <c r="D21" s="29">
        <v>45.91</v>
      </c>
      <c r="E21" s="21" t="s">
        <v>367</v>
      </c>
    </row>
    <row r="22" spans="2:5" ht="15" x14ac:dyDescent="0.25">
      <c r="B22" s="1" t="s">
        <v>87</v>
      </c>
      <c r="C22" s="1" t="s">
        <v>88</v>
      </c>
      <c r="D22" s="29">
        <v>44.59</v>
      </c>
      <c r="E22" s="21" t="s">
        <v>366</v>
      </c>
    </row>
    <row r="23" spans="2:5" ht="15" x14ac:dyDescent="0.25">
      <c r="B23" s="1" t="s">
        <v>91</v>
      </c>
      <c r="C23" s="1" t="s">
        <v>92</v>
      </c>
      <c r="D23" s="29">
        <v>45</v>
      </c>
      <c r="E23" s="21" t="s">
        <v>365</v>
      </c>
    </row>
    <row r="24" spans="2:5" ht="15" x14ac:dyDescent="0.25">
      <c r="B24" s="1" t="s">
        <v>95</v>
      </c>
      <c r="C24" s="1" t="s">
        <v>96</v>
      </c>
      <c r="D24" s="29">
        <v>45</v>
      </c>
      <c r="E24" s="21" t="s">
        <v>364</v>
      </c>
    </row>
    <row r="25" spans="2:5" ht="15" x14ac:dyDescent="0.25">
      <c r="B25" s="1" t="s">
        <v>99</v>
      </c>
      <c r="C25" s="1" t="s">
        <v>100</v>
      </c>
      <c r="D25" s="29">
        <v>44.46</v>
      </c>
      <c r="E25" s="21" t="s">
        <v>363</v>
      </c>
    </row>
    <row r="26" spans="2:5" ht="15" x14ac:dyDescent="0.25">
      <c r="B26" s="1" t="s">
        <v>103</v>
      </c>
      <c r="C26" s="1" t="s">
        <v>104</v>
      </c>
      <c r="D26" s="29">
        <v>43.76</v>
      </c>
      <c r="E26" s="21" t="s">
        <v>362</v>
      </c>
    </row>
    <row r="27" spans="2:5" ht="15" x14ac:dyDescent="0.25">
      <c r="B27" s="1" t="s">
        <v>107</v>
      </c>
      <c r="C27" s="1" t="s">
        <v>108</v>
      </c>
      <c r="D27" s="29">
        <v>44.05</v>
      </c>
      <c r="E27" s="21" t="s">
        <v>361</v>
      </c>
    </row>
    <row r="28" spans="2:5" ht="15" x14ac:dyDescent="0.25">
      <c r="B28" s="1" t="s">
        <v>111</v>
      </c>
      <c r="C28" s="1" t="s">
        <v>112</v>
      </c>
      <c r="D28" s="29">
        <v>43.6</v>
      </c>
      <c r="E28" s="21" t="s">
        <v>360</v>
      </c>
    </row>
    <row r="29" spans="2:5" ht="15" x14ac:dyDescent="0.25">
      <c r="B29" s="1" t="s">
        <v>115</v>
      </c>
      <c r="C29" s="1" t="s">
        <v>116</v>
      </c>
      <c r="D29" s="29">
        <v>40.31</v>
      </c>
      <c r="E29" s="21" t="s">
        <v>359</v>
      </c>
    </row>
    <row r="30" spans="2:5" ht="15" x14ac:dyDescent="0.25">
      <c r="B30" s="1" t="s">
        <v>119</v>
      </c>
      <c r="C30" s="1" t="s">
        <v>120</v>
      </c>
      <c r="D30" s="29">
        <v>44.05</v>
      </c>
      <c r="E30" s="21" t="s">
        <v>357</v>
      </c>
    </row>
    <row r="31" spans="2:5" ht="15" x14ac:dyDescent="0.25">
      <c r="B31" s="1" t="s">
        <v>123</v>
      </c>
      <c r="C31" s="1" t="s">
        <v>124</v>
      </c>
      <c r="D31" s="29">
        <v>45.73</v>
      </c>
      <c r="E31" s="21" t="s">
        <v>358</v>
      </c>
    </row>
    <row r="32" spans="2:5" ht="15" x14ac:dyDescent="0.25">
      <c r="B32" s="1" t="s">
        <v>127</v>
      </c>
      <c r="C32" s="1" t="s">
        <v>128</v>
      </c>
      <c r="D32" s="29">
        <v>43.72</v>
      </c>
      <c r="E32" s="21" t="s">
        <v>357</v>
      </c>
    </row>
    <row r="33" spans="2:5" ht="15" x14ac:dyDescent="0.25">
      <c r="B33" s="1" t="s">
        <v>131</v>
      </c>
      <c r="C33" s="1" t="s">
        <v>132</v>
      </c>
      <c r="D33" s="29">
        <v>43.93</v>
      </c>
      <c r="E33" s="21" t="s">
        <v>356</v>
      </c>
    </row>
    <row r="34" spans="2:5" ht="15" x14ac:dyDescent="0.25">
      <c r="B34" s="1" t="s">
        <v>135</v>
      </c>
      <c r="C34" s="1" t="s">
        <v>136</v>
      </c>
      <c r="D34" s="29">
        <v>45.46</v>
      </c>
      <c r="E34" s="21" t="s">
        <v>355</v>
      </c>
    </row>
    <row r="35" spans="2:5" ht="15" x14ac:dyDescent="0.25">
      <c r="B35" s="1" t="s">
        <v>139</v>
      </c>
      <c r="C35" s="1" t="s">
        <v>140</v>
      </c>
      <c r="D35" s="29">
        <v>46.28</v>
      </c>
      <c r="E35" s="21" t="s">
        <v>354</v>
      </c>
    </row>
    <row r="36" spans="2:5" ht="15" x14ac:dyDescent="0.25">
      <c r="B36" s="1" t="s">
        <v>143</v>
      </c>
      <c r="C36" s="1" t="s">
        <v>144</v>
      </c>
      <c r="D36" s="29">
        <v>43.63</v>
      </c>
      <c r="E36" s="21" t="s">
        <v>353</v>
      </c>
    </row>
    <row r="37" spans="2:5" ht="15" x14ac:dyDescent="0.25">
      <c r="B37" s="1" t="s">
        <v>147</v>
      </c>
      <c r="C37" s="1" t="s">
        <v>148</v>
      </c>
      <c r="D37" s="29">
        <v>43.36</v>
      </c>
      <c r="E37" s="21" t="s">
        <v>352</v>
      </c>
    </row>
    <row r="38" spans="2:5" ht="15" x14ac:dyDescent="0.25">
      <c r="B38" s="1" t="s">
        <v>151</v>
      </c>
      <c r="C38" s="1" t="s">
        <v>152</v>
      </c>
      <c r="D38" s="29">
        <v>43.19</v>
      </c>
      <c r="E38" s="21" t="s">
        <v>351</v>
      </c>
    </row>
    <row r="39" spans="2:5" ht="15" x14ac:dyDescent="0.25">
      <c r="B39" s="1" t="s">
        <v>154</v>
      </c>
      <c r="C39" s="1" t="s">
        <v>155</v>
      </c>
      <c r="D39" s="29">
        <v>42.68</v>
      </c>
      <c r="E39" s="21" t="s">
        <v>350</v>
      </c>
    </row>
    <row r="40" spans="2:5" ht="15" x14ac:dyDescent="0.25">
      <c r="B40" s="1" t="s">
        <v>158</v>
      </c>
      <c r="C40" s="1" t="s">
        <v>159</v>
      </c>
      <c r="D40" s="29">
        <v>39.840000000000003</v>
      </c>
      <c r="E40" s="21" t="s">
        <v>349</v>
      </c>
    </row>
    <row r="41" spans="2:5" ht="15" x14ac:dyDescent="0.25">
      <c r="B41" s="1" t="s">
        <v>161</v>
      </c>
      <c r="C41" s="1" t="s">
        <v>162</v>
      </c>
      <c r="D41" s="29">
        <v>44.25</v>
      </c>
      <c r="E41" s="21" t="s">
        <v>348</v>
      </c>
    </row>
    <row r="42" spans="2:5" ht="15" x14ac:dyDescent="0.25">
      <c r="B42" s="1" t="s">
        <v>165</v>
      </c>
      <c r="C42" s="1" t="s">
        <v>166</v>
      </c>
      <c r="D42" s="29">
        <v>42.05</v>
      </c>
      <c r="E42" s="21" t="s">
        <v>347</v>
      </c>
    </row>
    <row r="43" spans="2:5" ht="15" x14ac:dyDescent="0.25">
      <c r="B43" s="1" t="s">
        <v>169</v>
      </c>
      <c r="C43" s="1" t="s">
        <v>170</v>
      </c>
      <c r="D43" s="29">
        <v>42.74</v>
      </c>
      <c r="E43" s="21" t="s">
        <v>346</v>
      </c>
    </row>
    <row r="44" spans="2:5" ht="15" x14ac:dyDescent="0.25">
      <c r="B44" s="1" t="s">
        <v>173</v>
      </c>
      <c r="C44" s="1" t="s">
        <v>174</v>
      </c>
      <c r="D44" s="29">
        <v>35.729999999999997</v>
      </c>
      <c r="E44" s="21" t="s">
        <v>345</v>
      </c>
    </row>
    <row r="45" spans="2:5" ht="15" x14ac:dyDescent="0.25">
      <c r="B45" s="1" t="s">
        <v>177</v>
      </c>
      <c r="C45" s="1" t="s">
        <v>178</v>
      </c>
      <c r="D45" s="29">
        <v>40.86</v>
      </c>
      <c r="E45" s="21" t="s">
        <v>344</v>
      </c>
    </row>
    <row r="46" spans="2:5" ht="15" x14ac:dyDescent="0.25">
      <c r="B46" s="1" t="s">
        <v>181</v>
      </c>
      <c r="C46" s="1" t="s">
        <v>182</v>
      </c>
      <c r="D46" s="29">
        <v>38.08</v>
      </c>
      <c r="E46" s="21" t="s">
        <v>343</v>
      </c>
    </row>
    <row r="47" spans="2:5" ht="15" x14ac:dyDescent="0.25">
      <c r="B47" s="1" t="s">
        <v>185</v>
      </c>
      <c r="C47" s="1" t="s">
        <v>186</v>
      </c>
      <c r="D47" s="29">
        <v>43.85</v>
      </c>
      <c r="E47" s="21" t="s">
        <v>342</v>
      </c>
    </row>
    <row r="48" spans="2:5" ht="15" x14ac:dyDescent="0.25">
      <c r="B48" s="1" t="s">
        <v>189</v>
      </c>
      <c r="C48" s="1" t="s">
        <v>190</v>
      </c>
      <c r="D48" s="29">
        <v>42.5</v>
      </c>
      <c r="E48" s="21" t="s">
        <v>341</v>
      </c>
    </row>
    <row r="49" spans="2:5" ht="15" x14ac:dyDescent="0.25">
      <c r="B49" s="1" t="s">
        <v>193</v>
      </c>
      <c r="C49" s="1" t="s">
        <v>194</v>
      </c>
      <c r="D49" s="29">
        <v>42.99</v>
      </c>
      <c r="E49" s="21" t="s">
        <v>340</v>
      </c>
    </row>
    <row r="50" spans="2:5" ht="15" x14ac:dyDescent="0.25">
      <c r="B50" s="1" t="s">
        <v>6</v>
      </c>
      <c r="C50" s="1" t="s">
        <v>7</v>
      </c>
      <c r="D50" s="29">
        <v>42.87</v>
      </c>
      <c r="E50" s="21" t="s">
        <v>339</v>
      </c>
    </row>
    <row r="51" spans="2:5" ht="15" x14ac:dyDescent="0.25">
      <c r="B51" s="1" t="s">
        <v>13</v>
      </c>
      <c r="C51" s="1" t="s">
        <v>14</v>
      </c>
      <c r="D51" s="29">
        <v>43.21</v>
      </c>
      <c r="E51" s="21" t="s">
        <v>338</v>
      </c>
    </row>
    <row r="52" spans="2:5" ht="15" x14ac:dyDescent="0.25">
      <c r="B52" s="1" t="s">
        <v>17</v>
      </c>
      <c r="C52" s="1" t="s">
        <v>18</v>
      </c>
      <c r="D52" s="29">
        <v>43.36</v>
      </c>
      <c r="E52" s="21" t="s">
        <v>337</v>
      </c>
    </row>
    <row r="53" spans="2:5" ht="15" x14ac:dyDescent="0.25">
      <c r="B53" s="1" t="s">
        <v>21</v>
      </c>
      <c r="C53" s="1" t="s">
        <v>22</v>
      </c>
      <c r="D53" s="29">
        <v>42.69</v>
      </c>
      <c r="E53" s="21" t="s">
        <v>336</v>
      </c>
    </row>
    <row r="54" spans="2:5" ht="15" x14ac:dyDescent="0.25">
      <c r="B54" s="1" t="s">
        <v>25</v>
      </c>
      <c r="C54" s="1" t="s">
        <v>26</v>
      </c>
      <c r="D54" s="29">
        <v>42.27</v>
      </c>
      <c r="E54" s="21" t="s">
        <v>318</v>
      </c>
    </row>
    <row r="55" spans="2:5" ht="15" x14ac:dyDescent="0.25">
      <c r="B55" s="1" t="s">
        <v>29</v>
      </c>
      <c r="C55" s="1" t="s">
        <v>30</v>
      </c>
      <c r="D55" s="29">
        <v>44.14</v>
      </c>
      <c r="E55" s="21" t="s">
        <v>335</v>
      </c>
    </row>
    <row r="56" spans="2:5" ht="15" x14ac:dyDescent="0.25">
      <c r="B56" s="1" t="s">
        <v>33</v>
      </c>
      <c r="C56" s="1" t="s">
        <v>34</v>
      </c>
      <c r="D56" s="29">
        <v>41.89</v>
      </c>
      <c r="E56" s="21" t="s">
        <v>334</v>
      </c>
    </row>
    <row r="57" spans="2:5" ht="15" x14ac:dyDescent="0.25">
      <c r="B57" s="1" t="s">
        <v>37</v>
      </c>
      <c r="C57" s="1" t="s">
        <v>38</v>
      </c>
      <c r="D57" s="29">
        <v>43.01</v>
      </c>
      <c r="E57" s="21" t="s">
        <v>333</v>
      </c>
    </row>
    <row r="58" spans="2:5" ht="15" x14ac:dyDescent="0.25">
      <c r="B58" s="1" t="s">
        <v>41</v>
      </c>
      <c r="C58" s="1" t="s">
        <v>42</v>
      </c>
      <c r="D58" s="29">
        <v>43.27</v>
      </c>
      <c r="E58" s="21" t="s">
        <v>318</v>
      </c>
    </row>
    <row r="59" spans="2:5" ht="15" x14ac:dyDescent="0.25">
      <c r="B59" s="1" t="s">
        <v>45</v>
      </c>
      <c r="C59" s="1" t="s">
        <v>46</v>
      </c>
      <c r="D59" s="29">
        <v>41.56</v>
      </c>
      <c r="E59" s="21" t="s">
        <v>332</v>
      </c>
    </row>
    <row r="60" spans="2:5" ht="15" x14ac:dyDescent="0.25">
      <c r="B60" s="1" t="s">
        <v>49</v>
      </c>
      <c r="C60" s="1" t="s">
        <v>50</v>
      </c>
      <c r="D60" s="29">
        <v>42.17</v>
      </c>
      <c r="E60" s="21" t="s">
        <v>331</v>
      </c>
    </row>
    <row r="61" spans="2:5" ht="15" x14ac:dyDescent="0.25">
      <c r="B61" s="1" t="s">
        <v>53</v>
      </c>
      <c r="C61" s="1" t="s">
        <v>54</v>
      </c>
      <c r="D61" s="29">
        <v>43.19</v>
      </c>
      <c r="E61" s="21" t="s">
        <v>330</v>
      </c>
    </row>
    <row r="62" spans="2:5" ht="15" x14ac:dyDescent="0.25">
      <c r="B62" s="1" t="s">
        <v>57</v>
      </c>
      <c r="C62" s="1" t="s">
        <v>58</v>
      </c>
      <c r="D62" s="29">
        <v>42.37</v>
      </c>
      <c r="E62" s="21" t="s">
        <v>329</v>
      </c>
    </row>
    <row r="63" spans="2:5" ht="15" x14ac:dyDescent="0.25">
      <c r="B63" s="1" t="s">
        <v>61</v>
      </c>
      <c r="C63" s="1" t="s">
        <v>62</v>
      </c>
      <c r="D63" s="29">
        <v>42.74</v>
      </c>
      <c r="E63" s="21" t="s">
        <v>328</v>
      </c>
    </row>
    <row r="64" spans="2:5" ht="15" x14ac:dyDescent="0.25">
      <c r="B64" s="1" t="s">
        <v>65</v>
      </c>
      <c r="C64" s="1" t="s">
        <v>66</v>
      </c>
      <c r="D64" s="29">
        <v>42.28</v>
      </c>
      <c r="E64" s="21" t="s">
        <v>327</v>
      </c>
    </row>
    <row r="65" spans="2:5" ht="15" x14ac:dyDescent="0.25">
      <c r="B65" s="1" t="s">
        <v>69</v>
      </c>
      <c r="C65" s="1" t="s">
        <v>70</v>
      </c>
      <c r="D65" s="29">
        <v>39.770000000000003</v>
      </c>
      <c r="E65" s="21" t="s">
        <v>317</v>
      </c>
    </row>
    <row r="66" spans="2:5" ht="15" x14ac:dyDescent="0.25">
      <c r="B66" s="1" t="s">
        <v>73</v>
      </c>
      <c r="C66" s="1" t="s">
        <v>74</v>
      </c>
      <c r="D66" s="29">
        <v>41.42</v>
      </c>
      <c r="E66" s="21" t="s">
        <v>326</v>
      </c>
    </row>
    <row r="67" spans="2:5" ht="15" x14ac:dyDescent="0.25">
      <c r="B67" s="1" t="s">
        <v>77</v>
      </c>
      <c r="C67" s="1" t="s">
        <v>78</v>
      </c>
      <c r="D67" s="29">
        <v>43.43</v>
      </c>
      <c r="E67" s="21" t="s">
        <v>325</v>
      </c>
    </row>
    <row r="68" spans="2:5" ht="15" x14ac:dyDescent="0.25">
      <c r="B68" s="1" t="s">
        <v>81</v>
      </c>
      <c r="C68" s="1" t="s">
        <v>82</v>
      </c>
      <c r="D68" s="29">
        <v>41.5</v>
      </c>
      <c r="E68" s="21" t="s">
        <v>324</v>
      </c>
    </row>
    <row r="69" spans="2:5" ht="15" x14ac:dyDescent="0.25">
      <c r="B69" s="1" t="s">
        <v>85</v>
      </c>
      <c r="C69" s="1" t="s">
        <v>86</v>
      </c>
      <c r="D69" s="29">
        <v>42.21</v>
      </c>
      <c r="E69" s="21" t="s">
        <v>323</v>
      </c>
    </row>
    <row r="70" spans="2:5" ht="15" x14ac:dyDescent="0.25">
      <c r="B70" s="1" t="s">
        <v>89</v>
      </c>
      <c r="C70" s="1" t="s">
        <v>90</v>
      </c>
      <c r="D70" s="29">
        <v>42.24</v>
      </c>
      <c r="E70" s="21" t="s">
        <v>315</v>
      </c>
    </row>
    <row r="71" spans="2:5" ht="15" x14ac:dyDescent="0.25">
      <c r="B71" s="1" t="s">
        <v>93</v>
      </c>
      <c r="C71" s="1" t="s">
        <v>94</v>
      </c>
      <c r="D71" s="29">
        <v>42</v>
      </c>
      <c r="E71" s="21" t="s">
        <v>322</v>
      </c>
    </row>
    <row r="72" spans="2:5" ht="15" x14ac:dyDescent="0.25">
      <c r="B72" s="1" t="s">
        <v>97</v>
      </c>
      <c r="C72" s="1" t="s">
        <v>98</v>
      </c>
      <c r="D72" s="29">
        <v>42.23</v>
      </c>
      <c r="E72" s="21" t="s">
        <v>321</v>
      </c>
    </row>
    <row r="73" spans="2:5" ht="15" x14ac:dyDescent="0.25">
      <c r="B73" s="1" t="s">
        <v>101</v>
      </c>
      <c r="C73" s="1" t="s">
        <v>102</v>
      </c>
      <c r="D73" s="29">
        <v>42.33</v>
      </c>
      <c r="E73" s="21" t="s">
        <v>320</v>
      </c>
    </row>
    <row r="74" spans="2:5" ht="15" x14ac:dyDescent="0.25">
      <c r="B74" s="1" t="s">
        <v>105</v>
      </c>
      <c r="C74" s="1" t="s">
        <v>106</v>
      </c>
      <c r="D74" s="29">
        <v>43.55</v>
      </c>
      <c r="E74" s="21" t="s">
        <v>319</v>
      </c>
    </row>
    <row r="75" spans="2:5" ht="15" x14ac:dyDescent="0.25">
      <c r="B75" s="1" t="s">
        <v>109</v>
      </c>
      <c r="C75" s="1" t="s">
        <v>110</v>
      </c>
      <c r="D75" s="29">
        <v>43.72</v>
      </c>
      <c r="E75" s="21" t="s">
        <v>318</v>
      </c>
    </row>
    <row r="76" spans="2:5" ht="15" x14ac:dyDescent="0.25">
      <c r="B76" s="1" t="s">
        <v>113</v>
      </c>
      <c r="C76" s="1" t="s">
        <v>114</v>
      </c>
      <c r="D76" s="29">
        <v>38.950000000000003</v>
      </c>
      <c r="E76" s="21" t="s">
        <v>317</v>
      </c>
    </row>
    <row r="77" spans="2:5" ht="15" x14ac:dyDescent="0.25">
      <c r="B77" s="1" t="s">
        <v>117</v>
      </c>
      <c r="C77" s="1" t="s">
        <v>118</v>
      </c>
      <c r="D77" s="29">
        <v>36.700000000000003</v>
      </c>
      <c r="E77" s="21" t="s">
        <v>316</v>
      </c>
    </row>
    <row r="78" spans="2:5" ht="15" x14ac:dyDescent="0.25">
      <c r="B78" s="1" t="s">
        <v>121</v>
      </c>
      <c r="C78" s="22" t="s">
        <v>122</v>
      </c>
      <c r="D78" s="29">
        <v>42.05</v>
      </c>
      <c r="E78" s="21" t="s">
        <v>315</v>
      </c>
    </row>
    <row r="79" spans="2:5" ht="15" x14ac:dyDescent="0.25">
      <c r="B79" s="1" t="s">
        <v>125</v>
      </c>
      <c r="C79" s="1" t="s">
        <v>126</v>
      </c>
      <c r="D79" s="29">
        <v>42.45</v>
      </c>
      <c r="E79" s="21" t="s">
        <v>314</v>
      </c>
    </row>
    <row r="80" spans="2:5" ht="15" x14ac:dyDescent="0.25">
      <c r="B80" s="1" t="s">
        <v>129</v>
      </c>
      <c r="C80" s="1" t="s">
        <v>130</v>
      </c>
      <c r="D80" s="29">
        <v>43.2</v>
      </c>
      <c r="E80" s="21" t="s">
        <v>313</v>
      </c>
    </row>
    <row r="81" spans="2:5" ht="15" x14ac:dyDescent="0.25">
      <c r="B81" s="1" t="s">
        <v>133</v>
      </c>
      <c r="C81" s="1" t="s">
        <v>134</v>
      </c>
      <c r="D81" s="29">
        <v>41.66</v>
      </c>
      <c r="E81" s="21" t="s">
        <v>312</v>
      </c>
    </row>
    <row r="82" spans="2:5" ht="15" x14ac:dyDescent="0.25">
      <c r="B82" s="1" t="s">
        <v>137</v>
      </c>
      <c r="C82" s="1" t="s">
        <v>138</v>
      </c>
      <c r="D82" s="29">
        <v>44.9</v>
      </c>
      <c r="E82" s="21" t="s">
        <v>311</v>
      </c>
    </row>
    <row r="83" spans="2:5" ht="15" x14ac:dyDescent="0.25">
      <c r="B83" s="1" t="s">
        <v>141</v>
      </c>
      <c r="C83" s="1" t="s">
        <v>142</v>
      </c>
      <c r="D83" s="29">
        <v>43.81</v>
      </c>
      <c r="E83" s="21" t="s">
        <v>310</v>
      </c>
    </row>
    <row r="84" spans="2:5" ht="15" x14ac:dyDescent="0.25">
      <c r="B84" s="1" t="s">
        <v>145</v>
      </c>
      <c r="C84" s="1" t="s">
        <v>146</v>
      </c>
      <c r="D84" s="29">
        <v>44.19</v>
      </c>
      <c r="E84" s="21" t="s">
        <v>309</v>
      </c>
    </row>
    <row r="85" spans="2:5" ht="15" x14ac:dyDescent="0.25">
      <c r="B85" s="1" t="s">
        <v>149</v>
      </c>
      <c r="C85" s="1" t="s">
        <v>150</v>
      </c>
      <c r="D85" s="29">
        <v>43.55</v>
      </c>
      <c r="E85" s="21" t="s">
        <v>308</v>
      </c>
    </row>
    <row r="86" spans="2:5" ht="15" x14ac:dyDescent="0.25">
      <c r="B86" s="1" t="s">
        <v>153</v>
      </c>
      <c r="C86" s="1" t="s">
        <v>7</v>
      </c>
      <c r="D86" s="29">
        <v>42.84</v>
      </c>
      <c r="E86" s="21" t="s">
        <v>307</v>
      </c>
    </row>
    <row r="87" spans="2:5" ht="15" x14ac:dyDescent="0.25">
      <c r="B87" s="1" t="s">
        <v>156</v>
      </c>
      <c r="C87" s="1" t="s">
        <v>157</v>
      </c>
      <c r="D87" s="29">
        <v>42.61</v>
      </c>
      <c r="E87" s="21" t="s">
        <v>306</v>
      </c>
    </row>
    <row r="88" spans="2:5" ht="15" x14ac:dyDescent="0.25">
      <c r="B88" s="1" t="s">
        <v>160</v>
      </c>
      <c r="C88" s="1" t="s">
        <v>387</v>
      </c>
      <c r="D88" s="29">
        <v>43.49</v>
      </c>
      <c r="E88" s="21" t="s">
        <v>305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fitToPage="1"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"/>
  <cols>
    <col min="1" max="1" width="3.42578125" customWidth="1"/>
    <col min="2" max="2" width="8.7109375" customWidth="1"/>
    <col min="4" max="4" width="8" customWidth="1"/>
    <col min="8" max="8" width="3.7109375" customWidth="1"/>
    <col min="11" max="11" width="5.85546875" customWidth="1"/>
    <col min="12" max="12" width="8.85546875" customWidth="1"/>
    <col min="13" max="13" width="8.28515625" customWidth="1"/>
  </cols>
  <sheetData>
    <row r="1" spans="1:19" ht="15.75" customHeight="1" x14ac:dyDescent="0.25">
      <c r="A1" s="11" t="s">
        <v>1</v>
      </c>
      <c r="B1" s="12" t="s">
        <v>197</v>
      </c>
      <c r="C1" s="12" t="s">
        <v>198</v>
      </c>
      <c r="D1" s="12" t="s">
        <v>199</v>
      </c>
      <c r="E1" s="12" t="s">
        <v>200</v>
      </c>
      <c r="F1" s="12" t="s">
        <v>201</v>
      </c>
      <c r="G1" s="12" t="s">
        <v>202</v>
      </c>
      <c r="H1" s="12" t="s">
        <v>203</v>
      </c>
      <c r="I1" s="12" t="s">
        <v>204</v>
      </c>
      <c r="J1" s="12" t="s">
        <v>205</v>
      </c>
      <c r="K1" s="12" t="s">
        <v>206</v>
      </c>
      <c r="L1" s="12" t="s">
        <v>207</v>
      </c>
      <c r="M1" s="12" t="s">
        <v>208</v>
      </c>
      <c r="N1" s="12" t="s">
        <v>209</v>
      </c>
      <c r="O1" s="12" t="s">
        <v>210</v>
      </c>
      <c r="P1" s="12" t="s">
        <v>211</v>
      </c>
      <c r="Q1" s="13"/>
      <c r="R1" s="11" t="s">
        <v>212</v>
      </c>
      <c r="S1" s="12" t="s">
        <v>213</v>
      </c>
    </row>
    <row r="2" spans="1:19" ht="15.75" customHeight="1" x14ac:dyDescent="0.25">
      <c r="A2" s="7">
        <v>34</v>
      </c>
      <c r="B2" s="7">
        <v>8194</v>
      </c>
      <c r="C2" s="7">
        <v>161</v>
      </c>
      <c r="D2" s="13"/>
      <c r="E2" s="7">
        <v>1703</v>
      </c>
      <c r="F2" s="7">
        <v>6</v>
      </c>
      <c r="G2" s="24" t="s">
        <v>214</v>
      </c>
      <c r="H2" s="25"/>
      <c r="I2" s="13" t="s">
        <v>215</v>
      </c>
      <c r="J2" s="13" t="s">
        <v>216</v>
      </c>
      <c r="K2" s="7">
        <v>1</v>
      </c>
      <c r="L2" s="7" t="s">
        <v>217</v>
      </c>
      <c r="M2" s="14">
        <v>45292</v>
      </c>
      <c r="N2" s="13" t="s">
        <v>218</v>
      </c>
      <c r="O2" s="24" t="s">
        <v>219</v>
      </c>
      <c r="P2" s="25"/>
      <c r="Q2" s="13"/>
      <c r="R2" s="7">
        <v>2005</v>
      </c>
      <c r="S2" s="13" t="s">
        <v>220</v>
      </c>
    </row>
    <row r="3" spans="1:19" ht="15.75" customHeight="1" x14ac:dyDescent="0.25">
      <c r="A3" s="15">
        <v>37</v>
      </c>
      <c r="B3" s="15">
        <v>8186</v>
      </c>
      <c r="C3" s="15">
        <v>157</v>
      </c>
      <c r="D3" s="16"/>
      <c r="E3" s="15">
        <v>1689</v>
      </c>
      <c r="F3" s="15">
        <v>6</v>
      </c>
      <c r="G3" s="26" t="s">
        <v>214</v>
      </c>
      <c r="H3" s="27"/>
      <c r="I3" s="16" t="s">
        <v>221</v>
      </c>
      <c r="J3" s="16" t="s">
        <v>222</v>
      </c>
      <c r="K3" s="15">
        <v>1</v>
      </c>
      <c r="L3" s="15" t="s">
        <v>217</v>
      </c>
      <c r="M3" s="17">
        <v>45292</v>
      </c>
      <c r="N3" s="16" t="s">
        <v>218</v>
      </c>
      <c r="O3" s="15">
        <v>10</v>
      </c>
      <c r="P3" s="16"/>
      <c r="Q3" s="16"/>
      <c r="R3" s="15">
        <v>2005</v>
      </c>
      <c r="S3" s="16" t="s">
        <v>223</v>
      </c>
    </row>
    <row r="4" spans="1:19" ht="15.75" hidden="1" customHeight="1" x14ac:dyDescent="0.25">
      <c r="A4" s="7">
        <v>41</v>
      </c>
      <c r="B4" s="7">
        <v>8149</v>
      </c>
      <c r="C4" s="7">
        <v>184</v>
      </c>
      <c r="D4" s="13"/>
      <c r="E4" s="13"/>
      <c r="F4" s="7">
        <v>7</v>
      </c>
      <c r="G4" s="24" t="s">
        <v>214</v>
      </c>
      <c r="H4" s="25"/>
      <c r="I4" s="13" t="s">
        <v>224</v>
      </c>
      <c r="J4" s="13" t="s">
        <v>222</v>
      </c>
      <c r="K4" s="7">
        <v>1</v>
      </c>
      <c r="L4" s="7" t="s">
        <v>217</v>
      </c>
      <c r="M4" s="14">
        <v>45292</v>
      </c>
      <c r="N4" s="13" t="s">
        <v>218</v>
      </c>
      <c r="O4" s="7">
        <v>10</v>
      </c>
      <c r="P4" s="13"/>
      <c r="Q4" s="13"/>
      <c r="R4" s="13"/>
      <c r="S4" s="13"/>
    </row>
    <row r="5" spans="1:19" ht="15.75" hidden="1" customHeight="1" x14ac:dyDescent="0.25">
      <c r="A5" s="7">
        <v>42</v>
      </c>
      <c r="B5" s="7">
        <v>8150</v>
      </c>
      <c r="C5" s="7">
        <v>183</v>
      </c>
      <c r="D5" s="13"/>
      <c r="E5" s="13"/>
      <c r="F5" s="7">
        <v>7</v>
      </c>
      <c r="G5" s="24" t="s">
        <v>214</v>
      </c>
      <c r="H5" s="25"/>
      <c r="I5" s="13" t="s">
        <v>225</v>
      </c>
      <c r="J5" s="13" t="s">
        <v>226</v>
      </c>
      <c r="K5" s="7">
        <v>1</v>
      </c>
      <c r="L5" s="7" t="s">
        <v>217</v>
      </c>
      <c r="M5" s="14">
        <v>45292</v>
      </c>
      <c r="N5" s="13" t="s">
        <v>218</v>
      </c>
      <c r="O5" s="7">
        <v>10</v>
      </c>
      <c r="P5" s="13"/>
      <c r="Q5" s="13"/>
      <c r="R5" s="13"/>
      <c r="S5" s="13"/>
    </row>
    <row r="6" spans="1:19" ht="15.75" hidden="1" customHeight="1" x14ac:dyDescent="0.25">
      <c r="A6" s="7">
        <v>43</v>
      </c>
      <c r="B6" s="7">
        <v>8152</v>
      </c>
      <c r="C6" s="7">
        <v>191</v>
      </c>
      <c r="D6" s="13"/>
      <c r="E6" s="13"/>
      <c r="F6" s="7">
        <v>7</v>
      </c>
      <c r="G6" s="24" t="s">
        <v>214</v>
      </c>
      <c r="H6" s="25"/>
      <c r="I6" s="13" t="s">
        <v>225</v>
      </c>
      <c r="J6" s="13" t="s">
        <v>226</v>
      </c>
      <c r="K6" s="7">
        <v>1</v>
      </c>
      <c r="L6" s="7" t="s">
        <v>217</v>
      </c>
      <c r="M6" s="14">
        <v>45292</v>
      </c>
      <c r="N6" s="13" t="s">
        <v>218</v>
      </c>
      <c r="O6" s="7">
        <v>10</v>
      </c>
      <c r="P6" s="13"/>
      <c r="Q6" s="13"/>
      <c r="R6" s="13"/>
      <c r="S6" s="13"/>
    </row>
    <row r="7" spans="1:19" ht="15.75" hidden="1" customHeight="1" x14ac:dyDescent="0.25">
      <c r="A7" s="7">
        <v>44</v>
      </c>
      <c r="B7" s="7">
        <v>8154</v>
      </c>
      <c r="C7" s="13" t="s">
        <v>227</v>
      </c>
      <c r="D7" s="13"/>
      <c r="E7" s="13"/>
      <c r="F7" s="7">
        <v>7</v>
      </c>
      <c r="G7" s="24" t="s">
        <v>214</v>
      </c>
      <c r="H7" s="25"/>
      <c r="I7" s="13" t="s">
        <v>225</v>
      </c>
      <c r="J7" s="13" t="s">
        <v>226</v>
      </c>
      <c r="K7" s="7">
        <v>1</v>
      </c>
      <c r="L7" s="7" t="s">
        <v>217</v>
      </c>
      <c r="M7" s="14">
        <v>45292</v>
      </c>
      <c r="N7" s="13" t="s">
        <v>218</v>
      </c>
      <c r="O7" s="7">
        <v>10</v>
      </c>
      <c r="P7" s="24" t="s">
        <v>228</v>
      </c>
      <c r="Q7" s="25"/>
      <c r="R7" s="25"/>
      <c r="S7" s="13"/>
    </row>
    <row r="8" spans="1:19" ht="15.75" hidden="1" customHeight="1" x14ac:dyDescent="0.25">
      <c r="A8" s="7">
        <v>45</v>
      </c>
      <c r="B8" s="7">
        <v>8158</v>
      </c>
      <c r="C8" s="7">
        <v>199</v>
      </c>
      <c r="D8" s="13"/>
      <c r="E8" s="13"/>
      <c r="F8" s="7">
        <v>7</v>
      </c>
      <c r="G8" s="24" t="s">
        <v>214</v>
      </c>
      <c r="H8" s="25"/>
      <c r="I8" s="13" t="s">
        <v>225</v>
      </c>
      <c r="J8" s="13" t="s">
        <v>226</v>
      </c>
      <c r="K8" s="7">
        <v>1</v>
      </c>
      <c r="L8" s="7" t="s">
        <v>217</v>
      </c>
      <c r="M8" s="14">
        <v>45292</v>
      </c>
      <c r="N8" s="13" t="s">
        <v>218</v>
      </c>
      <c r="O8" s="7">
        <v>10</v>
      </c>
      <c r="P8" s="13"/>
      <c r="Q8" s="13"/>
      <c r="R8" s="13"/>
      <c r="S8" s="13"/>
    </row>
    <row r="9" spans="1:19" ht="15.75" hidden="1" customHeight="1" x14ac:dyDescent="0.25">
      <c r="A9" s="7">
        <v>54</v>
      </c>
      <c r="B9" s="7">
        <v>8140</v>
      </c>
      <c r="C9" s="7">
        <v>202</v>
      </c>
      <c r="D9" s="13"/>
      <c r="E9" s="13"/>
      <c r="F9" s="7">
        <v>8</v>
      </c>
      <c r="G9" s="24" t="s">
        <v>214</v>
      </c>
      <c r="H9" s="25"/>
      <c r="I9" s="13" t="s">
        <v>215</v>
      </c>
      <c r="J9" s="13" t="s">
        <v>216</v>
      </c>
      <c r="K9" s="7">
        <v>1</v>
      </c>
      <c r="L9" s="7" t="s">
        <v>217</v>
      </c>
      <c r="M9" s="14">
        <v>45292</v>
      </c>
      <c r="N9" s="13" t="s">
        <v>218</v>
      </c>
      <c r="O9" s="13" t="s">
        <v>219</v>
      </c>
      <c r="P9" s="24" t="s">
        <v>229</v>
      </c>
      <c r="Q9" s="25"/>
      <c r="R9" s="25"/>
      <c r="S9" s="13"/>
    </row>
    <row r="10" spans="1:19" ht="15.75" customHeight="1" x14ac:dyDescent="0.25">
      <c r="A10" s="7">
        <v>56</v>
      </c>
      <c r="B10" s="7">
        <v>8135</v>
      </c>
      <c r="C10" s="7">
        <v>214</v>
      </c>
      <c r="D10" s="13"/>
      <c r="E10" s="7">
        <v>1749</v>
      </c>
      <c r="F10" s="7">
        <v>8</v>
      </c>
      <c r="G10" s="24" t="s">
        <v>214</v>
      </c>
      <c r="H10" s="25"/>
      <c r="I10" s="13" t="s">
        <v>230</v>
      </c>
      <c r="J10" s="13" t="s">
        <v>231</v>
      </c>
      <c r="K10" s="7">
        <v>1</v>
      </c>
      <c r="L10" s="7" t="s">
        <v>217</v>
      </c>
      <c r="M10" s="14">
        <v>45292</v>
      </c>
      <c r="N10" s="13" t="s">
        <v>218</v>
      </c>
      <c r="O10" s="7">
        <v>10</v>
      </c>
      <c r="P10" s="24" t="s">
        <v>232</v>
      </c>
      <c r="Q10" s="25"/>
      <c r="R10" s="7">
        <v>2005</v>
      </c>
      <c r="S10" s="13" t="s">
        <v>233</v>
      </c>
    </row>
    <row r="11" spans="1:19" ht="15.75" hidden="1" customHeight="1" x14ac:dyDescent="0.25">
      <c r="A11" s="7">
        <v>1</v>
      </c>
      <c r="B11" s="7">
        <v>8052</v>
      </c>
      <c r="C11" s="7">
        <v>4027</v>
      </c>
      <c r="D11" s="7">
        <v>56073</v>
      </c>
      <c r="E11" s="13"/>
      <c r="F11" s="7">
        <v>81</v>
      </c>
      <c r="G11" s="13" t="s">
        <v>234</v>
      </c>
      <c r="H11" s="13"/>
      <c r="I11" s="13" t="s">
        <v>235</v>
      </c>
      <c r="J11" s="13" t="s">
        <v>236</v>
      </c>
      <c r="K11" s="14">
        <v>45292</v>
      </c>
      <c r="L11" s="7" t="s">
        <v>237</v>
      </c>
      <c r="M11" s="7" t="s">
        <v>238</v>
      </c>
      <c r="N11" s="13"/>
      <c r="O11" s="13"/>
      <c r="P11" s="13"/>
      <c r="Q11" s="13"/>
      <c r="R11" s="13"/>
      <c r="S11" s="13"/>
    </row>
    <row r="12" spans="1:19" ht="15.75" hidden="1" customHeight="1" x14ac:dyDescent="0.25">
      <c r="A12" s="7">
        <v>2</v>
      </c>
      <c r="B12" s="7">
        <v>8016</v>
      </c>
      <c r="C12" s="7">
        <v>4020</v>
      </c>
      <c r="D12" s="7">
        <v>56069</v>
      </c>
      <c r="E12" s="13"/>
      <c r="F12" s="7">
        <v>81</v>
      </c>
      <c r="G12" s="13" t="s">
        <v>234</v>
      </c>
      <c r="H12" s="13"/>
      <c r="I12" s="13" t="s">
        <v>235</v>
      </c>
      <c r="J12" s="13" t="s">
        <v>236</v>
      </c>
      <c r="K12" s="14">
        <v>45292</v>
      </c>
      <c r="L12" s="7" t="s">
        <v>237</v>
      </c>
      <c r="M12" s="7" t="s">
        <v>238</v>
      </c>
      <c r="N12" s="13"/>
      <c r="O12" s="13"/>
      <c r="P12" s="13"/>
      <c r="Q12" s="13"/>
      <c r="R12" s="13"/>
      <c r="S12" s="13"/>
    </row>
    <row r="13" spans="1:19" ht="15.75" hidden="1" customHeight="1" x14ac:dyDescent="0.25">
      <c r="A13" s="7">
        <v>4</v>
      </c>
      <c r="B13" s="7">
        <v>8039</v>
      </c>
      <c r="C13" s="7">
        <v>4022</v>
      </c>
      <c r="D13" s="7">
        <v>56071</v>
      </c>
      <c r="E13" s="13"/>
      <c r="F13" s="7">
        <v>81</v>
      </c>
      <c r="G13" s="13" t="s">
        <v>234</v>
      </c>
      <c r="H13" s="13"/>
      <c r="I13" s="13" t="s">
        <v>235</v>
      </c>
      <c r="J13" s="13" t="s">
        <v>236</v>
      </c>
      <c r="K13" s="14">
        <v>45292</v>
      </c>
      <c r="L13" s="7" t="s">
        <v>237</v>
      </c>
      <c r="M13" s="7" t="s">
        <v>238</v>
      </c>
      <c r="N13" s="13"/>
      <c r="O13" s="13"/>
      <c r="P13" s="13"/>
      <c r="Q13" s="13"/>
      <c r="R13" s="13"/>
      <c r="S13" s="13"/>
    </row>
    <row r="14" spans="1:19" ht="15.75" hidden="1" customHeight="1" x14ac:dyDescent="0.25">
      <c r="A14" s="7">
        <v>5</v>
      </c>
      <c r="B14" s="7">
        <v>8023</v>
      </c>
      <c r="C14" s="13" t="s">
        <v>227</v>
      </c>
      <c r="D14" s="13"/>
      <c r="E14" s="13"/>
      <c r="F14" s="7">
        <v>81</v>
      </c>
      <c r="G14" s="13" t="s">
        <v>234</v>
      </c>
      <c r="H14" s="13"/>
      <c r="I14" s="13" t="s">
        <v>235</v>
      </c>
      <c r="J14" s="13" t="s">
        <v>236</v>
      </c>
      <c r="K14" s="14">
        <v>45292</v>
      </c>
      <c r="L14" s="7" t="s">
        <v>237</v>
      </c>
      <c r="M14" s="7" t="s">
        <v>238</v>
      </c>
      <c r="N14" s="13"/>
      <c r="O14" s="13"/>
      <c r="P14" s="24" t="s">
        <v>239</v>
      </c>
      <c r="Q14" s="25"/>
      <c r="R14" s="25"/>
      <c r="S14" s="25"/>
    </row>
    <row r="15" spans="1:19" ht="15.75" hidden="1" customHeight="1" x14ac:dyDescent="0.25">
      <c r="A15" s="7">
        <v>6</v>
      </c>
      <c r="B15" s="7">
        <v>8034</v>
      </c>
      <c r="C15" s="13" t="s">
        <v>227</v>
      </c>
      <c r="D15" s="13"/>
      <c r="E15" s="13"/>
      <c r="F15" s="7">
        <v>81</v>
      </c>
      <c r="G15" s="13" t="s">
        <v>234</v>
      </c>
      <c r="H15" s="13"/>
      <c r="I15" s="13" t="s">
        <v>235</v>
      </c>
      <c r="J15" s="13" t="s">
        <v>236</v>
      </c>
      <c r="K15" s="14">
        <v>45292</v>
      </c>
      <c r="L15" s="7" t="s">
        <v>237</v>
      </c>
      <c r="M15" s="7" t="s">
        <v>238</v>
      </c>
      <c r="N15" s="13"/>
      <c r="O15" s="13"/>
      <c r="P15" s="24" t="s">
        <v>240</v>
      </c>
      <c r="Q15" s="25"/>
      <c r="R15" s="25"/>
      <c r="S15" s="25"/>
    </row>
    <row r="16" spans="1:19" ht="15.75" hidden="1" customHeight="1" x14ac:dyDescent="0.25">
      <c r="A16" s="7">
        <v>9</v>
      </c>
      <c r="B16" s="7">
        <v>4248</v>
      </c>
      <c r="C16" s="7">
        <v>4248</v>
      </c>
      <c r="D16" s="7">
        <v>56126</v>
      </c>
      <c r="E16" s="13"/>
      <c r="F16" s="7">
        <v>83</v>
      </c>
      <c r="G16" s="13" t="s">
        <v>234</v>
      </c>
      <c r="H16" s="13"/>
      <c r="I16" s="13" t="s">
        <v>235</v>
      </c>
      <c r="J16" s="13" t="s">
        <v>236</v>
      </c>
      <c r="K16" s="14">
        <v>45292</v>
      </c>
      <c r="L16" s="7" t="s">
        <v>237</v>
      </c>
      <c r="M16" s="7" t="s">
        <v>238</v>
      </c>
      <c r="N16" s="13"/>
      <c r="O16" s="13"/>
      <c r="P16" s="13"/>
      <c r="Q16" s="13"/>
      <c r="R16" s="13"/>
      <c r="S16" s="13"/>
    </row>
    <row r="17" spans="1:19" ht="15.75" hidden="1" customHeight="1" x14ac:dyDescent="0.25">
      <c r="A17" s="7">
        <v>10</v>
      </c>
      <c r="B17" s="7">
        <v>4242</v>
      </c>
      <c r="C17" s="7">
        <v>4242</v>
      </c>
      <c r="D17" s="7">
        <v>56123</v>
      </c>
      <c r="E17" s="13"/>
      <c r="F17" s="7">
        <v>83</v>
      </c>
      <c r="G17" s="13" t="s">
        <v>234</v>
      </c>
      <c r="H17" s="13"/>
      <c r="I17" s="13" t="s">
        <v>235</v>
      </c>
      <c r="J17" s="13" t="s">
        <v>236</v>
      </c>
      <c r="K17" s="14">
        <v>45292</v>
      </c>
      <c r="L17" s="7" t="s">
        <v>237</v>
      </c>
      <c r="M17" s="7" t="s">
        <v>238</v>
      </c>
      <c r="N17" s="13"/>
      <c r="O17" s="13"/>
      <c r="P17" s="13"/>
      <c r="Q17" s="13"/>
      <c r="R17" s="13"/>
      <c r="S17" s="13"/>
    </row>
    <row r="18" spans="1:19" ht="15.75" hidden="1" customHeight="1" x14ac:dyDescent="0.25">
      <c r="A18" s="7">
        <v>11</v>
      </c>
      <c r="B18" s="7">
        <v>4249</v>
      </c>
      <c r="C18" s="7">
        <v>4249</v>
      </c>
      <c r="D18" s="7">
        <v>56127</v>
      </c>
      <c r="E18" s="13"/>
      <c r="F18" s="7">
        <v>83</v>
      </c>
      <c r="G18" s="13" t="s">
        <v>234</v>
      </c>
      <c r="H18" s="13"/>
      <c r="I18" s="13" t="s">
        <v>235</v>
      </c>
      <c r="J18" s="13" t="s">
        <v>236</v>
      </c>
      <c r="K18" s="14">
        <v>45292</v>
      </c>
      <c r="L18" s="7" t="s">
        <v>237</v>
      </c>
      <c r="M18" s="7" t="s">
        <v>238</v>
      </c>
      <c r="N18" s="13"/>
      <c r="O18" s="13"/>
      <c r="P18" s="13"/>
      <c r="Q18" s="13"/>
      <c r="R18" s="13"/>
      <c r="S18" s="13"/>
    </row>
    <row r="19" spans="1:19" ht="15.75" hidden="1" customHeight="1" x14ac:dyDescent="0.25">
      <c r="A19" s="7">
        <v>17</v>
      </c>
      <c r="B19" s="7">
        <v>8073</v>
      </c>
      <c r="C19" s="13" t="s">
        <v>227</v>
      </c>
      <c r="D19" s="13"/>
      <c r="E19" s="13"/>
      <c r="F19" s="7">
        <v>85</v>
      </c>
      <c r="G19" s="13" t="s">
        <v>234</v>
      </c>
      <c r="H19" s="13"/>
      <c r="I19" s="13" t="s">
        <v>241</v>
      </c>
      <c r="J19" s="13" t="s">
        <v>242</v>
      </c>
      <c r="K19" s="14">
        <v>45292</v>
      </c>
      <c r="L19" s="7" t="s">
        <v>237</v>
      </c>
      <c r="M19" s="7" t="s">
        <v>238</v>
      </c>
      <c r="N19" s="13"/>
      <c r="O19" s="13"/>
      <c r="P19" s="24" t="s">
        <v>243</v>
      </c>
      <c r="Q19" s="25"/>
      <c r="R19" s="25"/>
      <c r="S19" s="25"/>
    </row>
    <row r="20" spans="1:19" ht="15.75" hidden="1" customHeight="1" x14ac:dyDescent="0.25">
      <c r="A20" s="7">
        <v>18</v>
      </c>
      <c r="B20" s="7">
        <v>4112</v>
      </c>
      <c r="C20" s="7">
        <v>4112</v>
      </c>
      <c r="D20" s="13"/>
      <c r="E20" s="13"/>
      <c r="F20" s="7">
        <v>85</v>
      </c>
      <c r="G20" s="13" t="s">
        <v>234</v>
      </c>
      <c r="H20" s="13"/>
      <c r="I20" s="13" t="s">
        <v>241</v>
      </c>
      <c r="J20" s="13" t="s">
        <v>242</v>
      </c>
      <c r="K20" s="14">
        <v>45292</v>
      </c>
      <c r="L20" s="7" t="s">
        <v>237</v>
      </c>
      <c r="M20" s="7" t="s">
        <v>238</v>
      </c>
      <c r="N20" s="13"/>
      <c r="O20" s="13"/>
      <c r="P20" s="13"/>
      <c r="Q20" s="13"/>
      <c r="R20" s="13"/>
      <c r="S20" s="13"/>
    </row>
    <row r="21" spans="1:19" ht="15.75" hidden="1" customHeight="1" x14ac:dyDescent="0.25">
      <c r="A21" s="7">
        <v>20</v>
      </c>
      <c r="B21" s="7">
        <v>8071</v>
      </c>
      <c r="C21" s="7">
        <v>4105</v>
      </c>
      <c r="D21" s="7">
        <v>56096</v>
      </c>
      <c r="E21" s="13"/>
      <c r="F21" s="7">
        <v>85</v>
      </c>
      <c r="G21" s="13" t="s">
        <v>234</v>
      </c>
      <c r="H21" s="13"/>
      <c r="I21" s="13" t="s">
        <v>241</v>
      </c>
      <c r="J21" s="13" t="s">
        <v>242</v>
      </c>
      <c r="K21" s="14">
        <v>45292</v>
      </c>
      <c r="L21" s="7" t="s">
        <v>237</v>
      </c>
      <c r="M21" s="7" t="s">
        <v>238</v>
      </c>
      <c r="N21" s="13"/>
      <c r="O21" s="13"/>
      <c r="P21" s="13"/>
      <c r="Q21" s="13"/>
      <c r="R21" s="13"/>
      <c r="S21" s="13"/>
    </row>
    <row r="22" spans="1:19" ht="15.75" hidden="1" customHeight="1" x14ac:dyDescent="0.25">
      <c r="A22" s="7">
        <v>21</v>
      </c>
      <c r="B22" s="7">
        <v>4110</v>
      </c>
      <c r="C22" s="7">
        <v>4110</v>
      </c>
      <c r="D22" s="7">
        <v>56098</v>
      </c>
      <c r="E22" s="13"/>
      <c r="F22" s="7">
        <v>85</v>
      </c>
      <c r="G22" s="13" t="s">
        <v>234</v>
      </c>
      <c r="H22" s="13"/>
      <c r="I22" s="13" t="s">
        <v>241</v>
      </c>
      <c r="J22" s="13" t="s">
        <v>242</v>
      </c>
      <c r="K22" s="14">
        <v>45292</v>
      </c>
      <c r="L22" s="7" t="s">
        <v>237</v>
      </c>
      <c r="M22" s="7" t="s">
        <v>238</v>
      </c>
      <c r="N22" s="13"/>
      <c r="O22" s="13"/>
      <c r="P22" s="13"/>
      <c r="Q22" s="13"/>
      <c r="R22" s="13"/>
      <c r="S22" s="13"/>
    </row>
    <row r="23" spans="1:19" ht="15.75" hidden="1" customHeight="1" x14ac:dyDescent="0.25">
      <c r="A23" s="7">
        <v>25</v>
      </c>
      <c r="B23" s="7">
        <v>4036</v>
      </c>
      <c r="C23" s="7">
        <v>4035</v>
      </c>
      <c r="D23" s="7">
        <v>56075</v>
      </c>
      <c r="E23" s="13"/>
      <c r="F23" s="7">
        <v>82</v>
      </c>
      <c r="G23" s="13" t="s">
        <v>234</v>
      </c>
      <c r="H23" s="13"/>
      <c r="I23" s="13" t="s">
        <v>235</v>
      </c>
      <c r="J23" s="13" t="s">
        <v>236</v>
      </c>
      <c r="K23" s="14">
        <v>45292</v>
      </c>
      <c r="L23" s="7" t="s">
        <v>237</v>
      </c>
      <c r="M23" s="7" t="s">
        <v>238</v>
      </c>
      <c r="N23" s="13"/>
      <c r="O23" s="13"/>
      <c r="P23" s="24" t="s">
        <v>244</v>
      </c>
      <c r="Q23" s="25"/>
      <c r="R23" s="25"/>
      <c r="S23" s="13"/>
    </row>
    <row r="24" spans="1:19" ht="15.75" hidden="1" customHeight="1" x14ac:dyDescent="0.25">
      <c r="A24" s="7">
        <v>28</v>
      </c>
      <c r="B24" s="7">
        <v>4050</v>
      </c>
      <c r="C24" s="7">
        <v>4050</v>
      </c>
      <c r="D24" s="7">
        <v>56082</v>
      </c>
      <c r="E24" s="13"/>
      <c r="F24" s="7">
        <v>82</v>
      </c>
      <c r="G24" s="13" t="s">
        <v>234</v>
      </c>
      <c r="H24" s="13"/>
      <c r="I24" s="13" t="s">
        <v>235</v>
      </c>
      <c r="J24" s="13" t="s">
        <v>236</v>
      </c>
      <c r="K24" s="14">
        <v>45292</v>
      </c>
      <c r="L24" s="7" t="s">
        <v>237</v>
      </c>
      <c r="M24" s="7" t="s">
        <v>238</v>
      </c>
      <c r="N24" s="13"/>
      <c r="O24" s="13"/>
      <c r="P24" s="13"/>
      <c r="Q24" s="13"/>
      <c r="R24" s="13"/>
      <c r="S24" s="13"/>
    </row>
    <row r="25" spans="1:19" ht="15.75" hidden="1" customHeight="1" x14ac:dyDescent="0.25">
      <c r="A25" s="7">
        <v>29</v>
      </c>
      <c r="B25" s="7">
        <v>8080</v>
      </c>
      <c r="C25" s="7">
        <v>4043</v>
      </c>
      <c r="D25" s="7">
        <v>56078</v>
      </c>
      <c r="E25" s="13"/>
      <c r="F25" s="7">
        <v>82</v>
      </c>
      <c r="G25" s="13" t="s">
        <v>234</v>
      </c>
      <c r="H25" s="13"/>
      <c r="I25" s="13" t="s">
        <v>235</v>
      </c>
      <c r="J25" s="13" t="s">
        <v>236</v>
      </c>
      <c r="K25" s="14">
        <v>45292</v>
      </c>
      <c r="L25" s="7" t="s">
        <v>237</v>
      </c>
      <c r="M25" s="7" t="s">
        <v>238</v>
      </c>
      <c r="N25" s="13"/>
      <c r="O25" s="13"/>
      <c r="P25" s="13"/>
      <c r="Q25" s="13"/>
      <c r="R25" s="13"/>
      <c r="S25" s="13"/>
    </row>
    <row r="26" spans="1:19" ht="15.75" hidden="1" customHeight="1" x14ac:dyDescent="0.25">
      <c r="A26" s="7">
        <v>30</v>
      </c>
      <c r="B26" s="7">
        <v>4045</v>
      </c>
      <c r="C26" s="7">
        <v>4045</v>
      </c>
      <c r="D26" s="7">
        <v>56080</v>
      </c>
      <c r="E26" s="13"/>
      <c r="F26" s="7">
        <v>82</v>
      </c>
      <c r="G26" s="13" t="s">
        <v>234</v>
      </c>
      <c r="H26" s="13"/>
      <c r="I26" s="13" t="s">
        <v>235</v>
      </c>
      <c r="J26" s="13" t="s">
        <v>236</v>
      </c>
      <c r="K26" s="14">
        <v>45292</v>
      </c>
      <c r="L26" s="7" t="s">
        <v>237</v>
      </c>
      <c r="M26" s="7" t="s">
        <v>238</v>
      </c>
      <c r="N26" s="13"/>
      <c r="O26" s="13"/>
      <c r="P26" s="13"/>
      <c r="Q26" s="13"/>
      <c r="R26" s="13"/>
      <c r="S26" s="13"/>
    </row>
    <row r="27" spans="1:19" ht="15.75" customHeight="1" x14ac:dyDescent="0.25">
      <c r="A27" s="7">
        <v>51</v>
      </c>
      <c r="B27" s="7">
        <v>8122</v>
      </c>
      <c r="C27" s="7">
        <v>1649</v>
      </c>
      <c r="D27" s="13"/>
      <c r="E27" s="7">
        <v>3153</v>
      </c>
      <c r="F27" s="7">
        <v>55</v>
      </c>
      <c r="G27" s="24" t="s">
        <v>214</v>
      </c>
      <c r="H27" s="25"/>
      <c r="I27" s="13" t="s">
        <v>245</v>
      </c>
      <c r="J27" s="13" t="s">
        <v>216</v>
      </c>
      <c r="K27" s="14">
        <v>45292</v>
      </c>
      <c r="L27" s="7" t="s">
        <v>237</v>
      </c>
      <c r="M27" s="7" t="s">
        <v>238</v>
      </c>
      <c r="N27" s="13" t="s">
        <v>218</v>
      </c>
      <c r="O27" s="13" t="s">
        <v>246</v>
      </c>
      <c r="P27" s="13" t="s">
        <v>247</v>
      </c>
      <c r="Q27" s="13"/>
      <c r="R27" s="7">
        <v>2007</v>
      </c>
      <c r="S27" s="13" t="s">
        <v>248</v>
      </c>
    </row>
    <row r="28" spans="1:19" ht="15.75" customHeight="1" x14ac:dyDescent="0.25">
      <c r="A28" s="7">
        <v>58</v>
      </c>
      <c r="B28" s="7">
        <v>8136</v>
      </c>
      <c r="C28" s="7">
        <v>218</v>
      </c>
      <c r="D28" s="13"/>
      <c r="E28" s="7">
        <v>1746</v>
      </c>
      <c r="F28" s="7">
        <v>8</v>
      </c>
      <c r="G28" s="24" t="s">
        <v>214</v>
      </c>
      <c r="H28" s="25"/>
      <c r="I28" s="13" t="s">
        <v>249</v>
      </c>
      <c r="J28" s="13" t="s">
        <v>250</v>
      </c>
      <c r="K28" s="14">
        <v>45293</v>
      </c>
      <c r="L28" s="7" t="s">
        <v>251</v>
      </c>
      <c r="M28" s="7" t="s">
        <v>252</v>
      </c>
      <c r="N28" s="13"/>
      <c r="O28" s="13"/>
      <c r="P28" s="13"/>
      <c r="Q28" s="13"/>
      <c r="R28" s="7">
        <v>2005</v>
      </c>
      <c r="S28" s="13" t="s">
        <v>253</v>
      </c>
    </row>
    <row r="29" spans="1:19" ht="15.75" customHeight="1" x14ac:dyDescent="0.25">
      <c r="A29" s="15">
        <v>52</v>
      </c>
      <c r="B29" s="15">
        <v>8123</v>
      </c>
      <c r="C29" s="15">
        <v>1648</v>
      </c>
      <c r="D29" s="16"/>
      <c r="E29" s="15">
        <v>3151</v>
      </c>
      <c r="F29" s="15">
        <v>55</v>
      </c>
      <c r="G29" s="26" t="s">
        <v>214</v>
      </c>
      <c r="H29" s="27"/>
      <c r="I29" s="16" t="s">
        <v>254</v>
      </c>
      <c r="J29" s="16" t="s">
        <v>255</v>
      </c>
      <c r="K29" s="17">
        <v>45323</v>
      </c>
      <c r="L29" s="18">
        <v>45505</v>
      </c>
      <c r="M29" s="15" t="s">
        <v>256</v>
      </c>
      <c r="N29" s="16" t="s">
        <v>218</v>
      </c>
      <c r="O29" s="15">
        <v>10</v>
      </c>
      <c r="P29" s="16"/>
      <c r="Q29" s="16"/>
      <c r="R29" s="15">
        <v>2007</v>
      </c>
      <c r="S29" s="16" t="s">
        <v>257</v>
      </c>
    </row>
    <row r="30" spans="1:19" ht="15.75" hidden="1" customHeight="1" x14ac:dyDescent="0.25">
      <c r="A30" s="7">
        <v>60</v>
      </c>
      <c r="B30" s="7">
        <v>8132</v>
      </c>
      <c r="C30" s="7">
        <v>208</v>
      </c>
      <c r="D30" s="13"/>
      <c r="E30" s="13"/>
      <c r="F30" s="7">
        <v>8</v>
      </c>
      <c r="G30" s="24" t="s">
        <v>214</v>
      </c>
      <c r="H30" s="25"/>
      <c r="I30" s="13" t="s">
        <v>258</v>
      </c>
      <c r="J30" s="13" t="s">
        <v>259</v>
      </c>
      <c r="K30" s="14">
        <v>45323</v>
      </c>
      <c r="L30" s="19">
        <v>45505</v>
      </c>
      <c r="M30" s="7" t="s">
        <v>256</v>
      </c>
      <c r="N30" s="13" t="s">
        <v>218</v>
      </c>
      <c r="O30" s="7">
        <v>10</v>
      </c>
      <c r="P30" s="13"/>
      <c r="Q30" s="13"/>
      <c r="R30" s="13"/>
      <c r="S30" s="13"/>
    </row>
    <row r="31" spans="1:19" ht="15.75" hidden="1" customHeight="1" x14ac:dyDescent="0.25">
      <c r="A31" s="7">
        <v>3</v>
      </c>
      <c r="B31" s="7">
        <v>8013</v>
      </c>
      <c r="C31" s="7">
        <v>4021</v>
      </c>
      <c r="D31" s="7">
        <v>56070</v>
      </c>
      <c r="E31" s="13"/>
      <c r="F31" s="7">
        <v>81</v>
      </c>
      <c r="G31" s="13" t="s">
        <v>234</v>
      </c>
      <c r="H31" s="13"/>
      <c r="I31" s="13" t="s">
        <v>260</v>
      </c>
      <c r="J31" s="13" t="s">
        <v>261</v>
      </c>
      <c r="K31" s="14">
        <v>45352</v>
      </c>
      <c r="L31" s="7" t="s">
        <v>262</v>
      </c>
      <c r="M31" s="7" t="s">
        <v>263</v>
      </c>
      <c r="N31" s="13"/>
      <c r="O31" s="13"/>
      <c r="P31" s="13"/>
      <c r="Q31" s="13"/>
      <c r="R31" s="13"/>
      <c r="S31" s="13"/>
    </row>
    <row r="32" spans="1:19" ht="15.75" hidden="1" customHeight="1" x14ac:dyDescent="0.25">
      <c r="A32" s="7">
        <v>7</v>
      </c>
      <c r="B32" s="7">
        <v>8056</v>
      </c>
      <c r="C32" s="13" t="s">
        <v>227</v>
      </c>
      <c r="D32" s="13"/>
      <c r="E32" s="13"/>
      <c r="F32" s="7">
        <v>81</v>
      </c>
      <c r="G32" s="13" t="s">
        <v>234</v>
      </c>
      <c r="H32" s="13"/>
      <c r="I32" s="13" t="s">
        <v>260</v>
      </c>
      <c r="J32" s="13" t="s">
        <v>261</v>
      </c>
      <c r="K32" s="14">
        <v>45352</v>
      </c>
      <c r="L32" s="7" t="s">
        <v>262</v>
      </c>
      <c r="M32" s="7" t="s">
        <v>263</v>
      </c>
      <c r="N32" s="13"/>
      <c r="O32" s="13"/>
      <c r="P32" s="24" t="s">
        <v>264</v>
      </c>
      <c r="Q32" s="25"/>
      <c r="R32" s="25"/>
      <c r="S32" s="25"/>
    </row>
    <row r="33" spans="1:19" ht="15.75" hidden="1" customHeight="1" x14ac:dyDescent="0.25">
      <c r="A33" s="7">
        <v>8</v>
      </c>
      <c r="B33" s="7">
        <v>8035</v>
      </c>
      <c r="C33" s="13" t="s">
        <v>227</v>
      </c>
      <c r="D33" s="13"/>
      <c r="E33" s="13"/>
      <c r="F33" s="7">
        <v>81</v>
      </c>
      <c r="G33" s="13" t="s">
        <v>234</v>
      </c>
      <c r="H33" s="13"/>
      <c r="I33" s="13" t="s">
        <v>260</v>
      </c>
      <c r="J33" s="13" t="s">
        <v>261</v>
      </c>
      <c r="K33" s="14">
        <v>45352</v>
      </c>
      <c r="L33" s="7" t="s">
        <v>262</v>
      </c>
      <c r="M33" s="7" t="s">
        <v>263</v>
      </c>
      <c r="N33" s="13"/>
      <c r="O33" s="13"/>
      <c r="P33" s="24" t="s">
        <v>265</v>
      </c>
      <c r="Q33" s="25"/>
      <c r="R33" s="25"/>
      <c r="S33" s="25"/>
    </row>
    <row r="34" spans="1:19" ht="15.75" hidden="1" customHeight="1" x14ac:dyDescent="0.25">
      <c r="A34" s="7">
        <v>12</v>
      </c>
      <c r="B34" s="7">
        <v>4250</v>
      </c>
      <c r="C34" s="7">
        <v>4250</v>
      </c>
      <c r="D34" s="7">
        <v>56128</v>
      </c>
      <c r="E34" s="13"/>
      <c r="F34" s="7">
        <v>83</v>
      </c>
      <c r="G34" s="13" t="s">
        <v>234</v>
      </c>
      <c r="H34" s="13"/>
      <c r="I34" s="13" t="s">
        <v>260</v>
      </c>
      <c r="J34" s="13" t="s">
        <v>261</v>
      </c>
      <c r="K34" s="14">
        <v>45352</v>
      </c>
      <c r="L34" s="7" t="s">
        <v>262</v>
      </c>
      <c r="M34" s="7" t="s">
        <v>263</v>
      </c>
      <c r="N34" s="13"/>
      <c r="O34" s="13"/>
      <c r="P34" s="13"/>
      <c r="Q34" s="13"/>
      <c r="R34" s="13"/>
      <c r="S34" s="13"/>
    </row>
    <row r="35" spans="1:19" ht="15.75" hidden="1" customHeight="1" x14ac:dyDescent="0.25">
      <c r="A35" s="7">
        <v>14</v>
      </c>
      <c r="B35" s="7">
        <v>4241</v>
      </c>
      <c r="C35" s="7">
        <v>4241</v>
      </c>
      <c r="D35" s="7">
        <v>56122</v>
      </c>
      <c r="E35" s="13"/>
      <c r="F35" s="7">
        <v>83</v>
      </c>
      <c r="G35" s="13" t="s">
        <v>234</v>
      </c>
      <c r="H35" s="13"/>
      <c r="I35" s="13" t="s">
        <v>260</v>
      </c>
      <c r="J35" s="13" t="s">
        <v>261</v>
      </c>
      <c r="K35" s="14">
        <v>45352</v>
      </c>
      <c r="L35" s="7" t="s">
        <v>262</v>
      </c>
      <c r="M35" s="7" t="s">
        <v>263</v>
      </c>
      <c r="N35" s="13"/>
      <c r="O35" s="13"/>
      <c r="P35" s="13"/>
      <c r="Q35" s="13"/>
      <c r="R35" s="13"/>
      <c r="S35" s="13"/>
    </row>
    <row r="36" spans="1:19" ht="15.75" hidden="1" customHeight="1" x14ac:dyDescent="0.25">
      <c r="A36" s="7">
        <v>15</v>
      </c>
      <c r="B36" s="7">
        <v>4055</v>
      </c>
      <c r="C36" s="7">
        <v>4055</v>
      </c>
      <c r="D36" s="13"/>
      <c r="E36" s="13"/>
      <c r="F36" s="7">
        <v>83</v>
      </c>
      <c r="G36" s="13" t="s">
        <v>234</v>
      </c>
      <c r="H36" s="13"/>
      <c r="I36" s="13" t="s">
        <v>260</v>
      </c>
      <c r="J36" s="13" t="s">
        <v>261</v>
      </c>
      <c r="K36" s="14">
        <v>45352</v>
      </c>
      <c r="L36" s="7" t="s">
        <v>262</v>
      </c>
      <c r="M36" s="7" t="s">
        <v>263</v>
      </c>
      <c r="N36" s="13"/>
      <c r="O36" s="13"/>
      <c r="P36" s="13"/>
      <c r="Q36" s="13"/>
      <c r="R36" s="13"/>
      <c r="S36" s="13"/>
    </row>
    <row r="37" spans="1:19" ht="15.75" hidden="1" customHeight="1" x14ac:dyDescent="0.25">
      <c r="A37" s="7">
        <v>16</v>
      </c>
      <c r="B37" s="7">
        <v>4240</v>
      </c>
      <c r="C37" s="7">
        <v>4240</v>
      </c>
      <c r="D37" s="7">
        <v>56121</v>
      </c>
      <c r="E37" s="13"/>
      <c r="F37" s="7">
        <v>83</v>
      </c>
      <c r="G37" s="13" t="s">
        <v>234</v>
      </c>
      <c r="H37" s="13"/>
      <c r="I37" s="13" t="s">
        <v>260</v>
      </c>
      <c r="J37" s="13" t="s">
        <v>261</v>
      </c>
      <c r="K37" s="14">
        <v>45352</v>
      </c>
      <c r="L37" s="7" t="s">
        <v>262</v>
      </c>
      <c r="M37" s="7" t="s">
        <v>263</v>
      </c>
      <c r="N37" s="13"/>
      <c r="O37" s="13"/>
      <c r="P37" s="13"/>
      <c r="Q37" s="13"/>
      <c r="R37" s="13"/>
      <c r="S37" s="13"/>
    </row>
    <row r="38" spans="1:19" ht="15.75" hidden="1" customHeight="1" x14ac:dyDescent="0.25">
      <c r="A38" s="7">
        <v>31</v>
      </c>
      <c r="B38" s="7">
        <v>4034</v>
      </c>
      <c r="C38" s="7">
        <v>4034</v>
      </c>
      <c r="D38" s="7">
        <v>56074</v>
      </c>
      <c r="E38" s="13"/>
      <c r="F38" s="7">
        <v>82</v>
      </c>
      <c r="G38" s="13" t="s">
        <v>234</v>
      </c>
      <c r="H38" s="13"/>
      <c r="I38" s="13" t="s">
        <v>266</v>
      </c>
      <c r="J38" s="13" t="s">
        <v>261</v>
      </c>
      <c r="K38" s="14">
        <v>45352</v>
      </c>
      <c r="L38" s="7" t="s">
        <v>262</v>
      </c>
      <c r="M38" s="7" t="s">
        <v>263</v>
      </c>
      <c r="N38" s="13"/>
      <c r="O38" s="13"/>
      <c r="P38" s="13"/>
      <c r="Q38" s="13"/>
      <c r="R38" s="13"/>
      <c r="S38" s="13"/>
    </row>
    <row r="39" spans="1:19" ht="15.75" hidden="1" customHeight="1" x14ac:dyDescent="0.25">
      <c r="A39" s="7">
        <v>32</v>
      </c>
      <c r="B39" s="7">
        <v>4046</v>
      </c>
      <c r="C39" s="7">
        <v>4046</v>
      </c>
      <c r="D39" s="7">
        <v>56081</v>
      </c>
      <c r="E39" s="13"/>
      <c r="F39" s="7">
        <v>82</v>
      </c>
      <c r="G39" s="13" t="s">
        <v>234</v>
      </c>
      <c r="H39" s="13" t="s">
        <v>203</v>
      </c>
      <c r="I39" s="13" t="s">
        <v>260</v>
      </c>
      <c r="J39" s="13" t="s">
        <v>261</v>
      </c>
      <c r="K39" s="14">
        <v>45352</v>
      </c>
      <c r="L39" s="7" t="s">
        <v>262</v>
      </c>
      <c r="M39" s="7" t="s">
        <v>263</v>
      </c>
      <c r="N39" s="13"/>
      <c r="O39" s="13"/>
      <c r="P39" s="13"/>
      <c r="Q39" s="13"/>
      <c r="R39" s="13"/>
      <c r="S39" s="13"/>
    </row>
    <row r="40" spans="1:19" ht="15.75" hidden="1" customHeight="1" x14ac:dyDescent="0.25">
      <c r="A40" s="7">
        <v>33</v>
      </c>
      <c r="B40" s="7">
        <v>4044</v>
      </c>
      <c r="C40" s="7">
        <v>4044</v>
      </c>
      <c r="D40" s="7">
        <v>56079</v>
      </c>
      <c r="E40" s="13"/>
      <c r="F40" s="7">
        <v>82</v>
      </c>
      <c r="G40" s="13" t="s">
        <v>234</v>
      </c>
      <c r="H40" s="13" t="s">
        <v>203</v>
      </c>
      <c r="I40" s="13" t="s">
        <v>260</v>
      </c>
      <c r="J40" s="13" t="s">
        <v>261</v>
      </c>
      <c r="K40" s="14">
        <v>45352</v>
      </c>
      <c r="L40" s="7" t="s">
        <v>262</v>
      </c>
      <c r="M40" s="7" t="s">
        <v>263</v>
      </c>
      <c r="N40" s="13"/>
      <c r="O40" s="13"/>
      <c r="P40" s="13"/>
      <c r="Q40" s="13"/>
      <c r="R40" s="13"/>
      <c r="S40" s="13"/>
    </row>
    <row r="41" spans="1:19" ht="15.75" hidden="1" customHeight="1" x14ac:dyDescent="0.25">
      <c r="A41" s="7">
        <v>36</v>
      </c>
      <c r="B41" s="7">
        <v>8181</v>
      </c>
      <c r="C41" s="7">
        <v>148</v>
      </c>
      <c r="D41" s="13"/>
      <c r="E41" s="13"/>
      <c r="F41" s="7">
        <v>6</v>
      </c>
      <c r="G41" s="24" t="s">
        <v>214</v>
      </c>
      <c r="H41" s="25"/>
      <c r="I41" s="13" t="s">
        <v>267</v>
      </c>
      <c r="J41" s="13" t="s">
        <v>268</v>
      </c>
      <c r="K41" s="14">
        <v>45352</v>
      </c>
      <c r="L41" s="7" t="s">
        <v>262</v>
      </c>
      <c r="M41" s="7" t="s">
        <v>263</v>
      </c>
      <c r="N41" s="13" t="s">
        <v>218</v>
      </c>
      <c r="O41" s="7">
        <v>10</v>
      </c>
      <c r="P41" s="13"/>
      <c r="Q41" s="13"/>
      <c r="R41" s="13"/>
      <c r="S41" s="13"/>
    </row>
    <row r="42" spans="1:19" ht="15.75" hidden="1" customHeight="1" x14ac:dyDescent="0.25">
      <c r="A42" s="7">
        <v>39</v>
      </c>
      <c r="B42" s="7">
        <v>8203</v>
      </c>
      <c r="C42" s="7">
        <v>143</v>
      </c>
      <c r="D42" s="13"/>
      <c r="E42" s="13"/>
      <c r="F42" s="7">
        <v>6</v>
      </c>
      <c r="G42" s="24" t="s">
        <v>214</v>
      </c>
      <c r="H42" s="25"/>
      <c r="I42" s="13" t="s">
        <v>269</v>
      </c>
      <c r="J42" s="13" t="s">
        <v>226</v>
      </c>
      <c r="K42" s="14">
        <v>45352</v>
      </c>
      <c r="L42" s="7" t="s">
        <v>262</v>
      </c>
      <c r="M42" s="7" t="s">
        <v>263</v>
      </c>
      <c r="N42" s="13" t="s">
        <v>218</v>
      </c>
      <c r="O42" s="7">
        <v>10</v>
      </c>
      <c r="P42" s="13"/>
      <c r="Q42" s="13"/>
      <c r="R42" s="13"/>
      <c r="S42" s="13"/>
    </row>
    <row r="43" spans="1:19" ht="15.75" customHeight="1" x14ac:dyDescent="0.25">
      <c r="A43" s="15">
        <v>50</v>
      </c>
      <c r="B43" s="15">
        <v>8120</v>
      </c>
      <c r="C43" s="15">
        <v>1645</v>
      </c>
      <c r="D43" s="16"/>
      <c r="E43" s="15">
        <v>3150</v>
      </c>
      <c r="F43" s="15">
        <v>55</v>
      </c>
      <c r="G43" s="26" t="s">
        <v>214</v>
      </c>
      <c r="H43" s="27"/>
      <c r="I43" s="16" t="s">
        <v>270</v>
      </c>
      <c r="J43" s="16" t="s">
        <v>226</v>
      </c>
      <c r="K43" s="17">
        <v>45352</v>
      </c>
      <c r="L43" s="15" t="s">
        <v>262</v>
      </c>
      <c r="M43" s="15" t="s">
        <v>263</v>
      </c>
      <c r="N43" s="16" t="s">
        <v>218</v>
      </c>
      <c r="O43" s="15">
        <v>10</v>
      </c>
      <c r="P43" s="16"/>
      <c r="Q43" s="16"/>
      <c r="R43" s="15">
        <v>2007</v>
      </c>
      <c r="S43" s="16" t="s">
        <v>257</v>
      </c>
    </row>
    <row r="44" spans="1:19" ht="15.75" hidden="1" customHeight="1" x14ac:dyDescent="0.25">
      <c r="A44" s="7">
        <v>55</v>
      </c>
      <c r="B44" s="7">
        <v>8139</v>
      </c>
      <c r="C44" s="7">
        <v>212</v>
      </c>
      <c r="D44" s="13"/>
      <c r="E44" s="13"/>
      <c r="F44" s="7">
        <v>8</v>
      </c>
      <c r="G44" s="24" t="s">
        <v>214</v>
      </c>
      <c r="H44" s="25"/>
      <c r="I44" s="13" t="s">
        <v>269</v>
      </c>
      <c r="J44" s="13" t="s">
        <v>271</v>
      </c>
      <c r="K44" s="14">
        <v>45352</v>
      </c>
      <c r="L44" s="7" t="s">
        <v>262</v>
      </c>
      <c r="M44" s="7" t="s">
        <v>263</v>
      </c>
      <c r="N44" s="13" t="s">
        <v>218</v>
      </c>
      <c r="O44" s="7">
        <v>10</v>
      </c>
      <c r="P44" s="24" t="s">
        <v>272</v>
      </c>
      <c r="Q44" s="25"/>
      <c r="R44" s="25"/>
      <c r="S44" s="25"/>
    </row>
    <row r="45" spans="1:19" ht="15.75" customHeight="1" x14ac:dyDescent="0.25">
      <c r="A45" s="15">
        <v>46</v>
      </c>
      <c r="B45" s="15">
        <v>8182</v>
      </c>
      <c r="C45" s="15">
        <v>151</v>
      </c>
      <c r="D45" s="16"/>
      <c r="E45" s="15">
        <v>1711</v>
      </c>
      <c r="F45" s="15">
        <v>6</v>
      </c>
      <c r="G45" s="26" t="s">
        <v>214</v>
      </c>
      <c r="H45" s="27"/>
      <c r="I45" s="16" t="s">
        <v>273</v>
      </c>
      <c r="J45" s="16" t="s">
        <v>226</v>
      </c>
      <c r="K45" s="17">
        <v>45413</v>
      </c>
      <c r="L45" s="15" t="s">
        <v>274</v>
      </c>
      <c r="M45" s="15" t="s">
        <v>275</v>
      </c>
      <c r="N45" s="16" t="s">
        <v>218</v>
      </c>
      <c r="O45" s="15">
        <v>10</v>
      </c>
      <c r="P45" s="16"/>
      <c r="Q45" s="16"/>
      <c r="R45" s="15">
        <v>2005</v>
      </c>
      <c r="S45" s="16" t="s">
        <v>233</v>
      </c>
    </row>
    <row r="46" spans="1:19" ht="15.75" hidden="1" customHeight="1" x14ac:dyDescent="0.25">
      <c r="A46" s="7">
        <v>48</v>
      </c>
      <c r="B46" s="7">
        <v>8106</v>
      </c>
      <c r="C46" s="7">
        <v>1678</v>
      </c>
      <c r="D46" s="13"/>
      <c r="E46" s="13"/>
      <c r="F46" s="7">
        <v>55</v>
      </c>
      <c r="G46" s="24" t="s">
        <v>214</v>
      </c>
      <c r="H46" s="25"/>
      <c r="I46" s="13" t="s">
        <v>276</v>
      </c>
      <c r="J46" s="13" t="s">
        <v>226</v>
      </c>
      <c r="K46" s="14">
        <v>45413</v>
      </c>
      <c r="L46" s="7" t="s">
        <v>274</v>
      </c>
      <c r="M46" s="7" t="s">
        <v>275</v>
      </c>
      <c r="N46" s="13" t="s">
        <v>218</v>
      </c>
      <c r="O46" s="7">
        <v>10</v>
      </c>
      <c r="P46" s="13"/>
      <c r="Q46" s="13"/>
      <c r="R46" s="13"/>
      <c r="S46" s="13"/>
    </row>
    <row r="47" spans="1:19" ht="15.75" hidden="1" customHeight="1" x14ac:dyDescent="0.25">
      <c r="A47" s="7">
        <v>59</v>
      </c>
      <c r="B47" s="7">
        <v>8130</v>
      </c>
      <c r="C47" s="7">
        <v>203</v>
      </c>
      <c r="D47" s="13"/>
      <c r="E47" s="13"/>
      <c r="F47" s="7">
        <v>8</v>
      </c>
      <c r="G47" s="24" t="s">
        <v>214</v>
      </c>
      <c r="H47" s="25"/>
      <c r="I47" s="13" t="s">
        <v>276</v>
      </c>
      <c r="J47" s="13" t="s">
        <v>226</v>
      </c>
      <c r="K47" s="14">
        <v>45413</v>
      </c>
      <c r="L47" s="7" t="s">
        <v>274</v>
      </c>
      <c r="M47" s="7" t="s">
        <v>275</v>
      </c>
      <c r="N47" s="13" t="s">
        <v>218</v>
      </c>
      <c r="O47" s="7">
        <v>10</v>
      </c>
      <c r="P47" s="13"/>
      <c r="Q47" s="13"/>
      <c r="R47" s="13"/>
      <c r="S47" s="13"/>
    </row>
    <row r="48" spans="1:19" ht="15.75" hidden="1" customHeight="1" x14ac:dyDescent="0.25">
      <c r="A48" s="7">
        <v>53</v>
      </c>
      <c r="B48" s="7">
        <v>8124</v>
      </c>
      <c r="C48" s="7">
        <v>1647</v>
      </c>
      <c r="D48" s="13"/>
      <c r="E48" s="13"/>
      <c r="F48" s="7">
        <v>55</v>
      </c>
      <c r="G48" s="24" t="s">
        <v>214</v>
      </c>
      <c r="H48" s="25"/>
      <c r="I48" s="13" t="s">
        <v>277</v>
      </c>
      <c r="J48" s="13" t="s">
        <v>231</v>
      </c>
      <c r="K48" s="14">
        <v>45444</v>
      </c>
      <c r="L48" s="7" t="s">
        <v>278</v>
      </c>
      <c r="M48" s="7" t="s">
        <v>279</v>
      </c>
      <c r="N48" s="13"/>
      <c r="O48" s="13"/>
      <c r="P48" s="24" t="s">
        <v>229</v>
      </c>
      <c r="Q48" s="25"/>
      <c r="R48" s="25"/>
      <c r="S48" s="13"/>
    </row>
    <row r="49" spans="1:19" ht="15.75" customHeight="1" x14ac:dyDescent="0.25">
      <c r="A49" s="15">
        <v>47</v>
      </c>
      <c r="B49" s="15">
        <v>8151</v>
      </c>
      <c r="C49" s="15">
        <v>186</v>
      </c>
      <c r="D49" s="16"/>
      <c r="E49" s="15">
        <v>1738</v>
      </c>
      <c r="F49" s="15">
        <v>7</v>
      </c>
      <c r="G49" s="26" t="s">
        <v>214</v>
      </c>
      <c r="H49" s="27"/>
      <c r="I49" s="16" t="s">
        <v>280</v>
      </c>
      <c r="J49" s="16" t="s">
        <v>226</v>
      </c>
      <c r="K49" s="17">
        <v>45505</v>
      </c>
      <c r="L49" s="15" t="s">
        <v>281</v>
      </c>
      <c r="M49" s="15" t="s">
        <v>282</v>
      </c>
      <c r="N49" s="16" t="s">
        <v>218</v>
      </c>
      <c r="O49" s="15">
        <v>5</v>
      </c>
      <c r="P49" s="26" t="s">
        <v>283</v>
      </c>
      <c r="Q49" s="27"/>
      <c r="R49" s="15">
        <v>2005</v>
      </c>
      <c r="S49" s="16" t="s">
        <v>233</v>
      </c>
    </row>
    <row r="50" spans="1:19" ht="15.75" hidden="1" customHeight="1" x14ac:dyDescent="0.25">
      <c r="A50" s="7">
        <v>49</v>
      </c>
      <c r="B50" s="7">
        <v>8107</v>
      </c>
      <c r="C50" s="7">
        <v>1643</v>
      </c>
      <c r="D50" s="13"/>
      <c r="E50" s="13"/>
      <c r="F50" s="7">
        <v>55</v>
      </c>
      <c r="G50" s="24" t="s">
        <v>214</v>
      </c>
      <c r="H50" s="25"/>
      <c r="I50" s="13" t="s">
        <v>284</v>
      </c>
      <c r="J50" s="13" t="s">
        <v>285</v>
      </c>
      <c r="K50" s="7" t="s">
        <v>286</v>
      </c>
      <c r="L50" s="7" t="s">
        <v>287</v>
      </c>
      <c r="M50" s="7" t="s">
        <v>288</v>
      </c>
      <c r="N50" s="13" t="s">
        <v>218</v>
      </c>
      <c r="O50" s="7">
        <v>6</v>
      </c>
      <c r="P50" s="24" t="s">
        <v>289</v>
      </c>
      <c r="Q50" s="25"/>
      <c r="R50" s="13"/>
      <c r="S50" s="13"/>
    </row>
    <row r="51" spans="1:19" ht="15.75" customHeight="1" x14ac:dyDescent="0.25">
      <c r="A51" s="7">
        <v>38</v>
      </c>
      <c r="B51" s="7">
        <v>8188</v>
      </c>
      <c r="C51" s="7">
        <v>158</v>
      </c>
      <c r="D51" s="13"/>
      <c r="E51" s="7">
        <v>1706</v>
      </c>
      <c r="F51" s="7">
        <v>6</v>
      </c>
      <c r="G51" s="24" t="s">
        <v>214</v>
      </c>
      <c r="H51" s="25"/>
      <c r="I51" s="13" t="s">
        <v>290</v>
      </c>
      <c r="J51" s="13" t="s">
        <v>291</v>
      </c>
      <c r="K51" s="7" t="s">
        <v>292</v>
      </c>
      <c r="L51" s="7" t="s">
        <v>293</v>
      </c>
      <c r="M51" s="7" t="s">
        <v>294</v>
      </c>
      <c r="N51" s="13" t="s">
        <v>218</v>
      </c>
      <c r="O51" s="13"/>
      <c r="P51" s="13"/>
      <c r="Q51" s="13"/>
      <c r="R51" s="7">
        <v>2005</v>
      </c>
      <c r="S51" s="13" t="s">
        <v>295</v>
      </c>
    </row>
    <row r="52" spans="1:19" ht="15.75" customHeight="1" x14ac:dyDescent="0.25">
      <c r="A52" s="15">
        <v>40</v>
      </c>
      <c r="B52" s="15">
        <v>8147</v>
      </c>
      <c r="C52" s="15">
        <v>178</v>
      </c>
      <c r="D52" s="16"/>
      <c r="E52" s="15">
        <v>1715</v>
      </c>
      <c r="F52" s="15">
        <v>7</v>
      </c>
      <c r="G52" s="26" t="s">
        <v>214</v>
      </c>
      <c r="H52" s="27"/>
      <c r="I52" s="16" t="s">
        <v>296</v>
      </c>
      <c r="J52" s="16" t="s">
        <v>226</v>
      </c>
      <c r="K52" s="15" t="s">
        <v>292</v>
      </c>
      <c r="L52" s="15" t="s">
        <v>293</v>
      </c>
      <c r="M52" s="15" t="s">
        <v>294</v>
      </c>
      <c r="N52" s="16" t="s">
        <v>218</v>
      </c>
      <c r="O52" s="15">
        <v>10</v>
      </c>
      <c r="P52" s="16"/>
      <c r="Q52" s="16"/>
      <c r="R52" s="15">
        <v>2005</v>
      </c>
      <c r="S52" s="16" t="s">
        <v>233</v>
      </c>
    </row>
    <row r="53" spans="1:19" ht="15.75" hidden="1" customHeight="1" x14ac:dyDescent="0.25">
      <c r="A53" s="7">
        <v>19</v>
      </c>
      <c r="B53" s="7">
        <v>8072</v>
      </c>
      <c r="C53" s="7">
        <v>4115</v>
      </c>
      <c r="D53" s="7">
        <v>56099</v>
      </c>
      <c r="E53" s="13"/>
      <c r="F53" s="7">
        <v>85</v>
      </c>
      <c r="G53" s="13" t="s">
        <v>234</v>
      </c>
      <c r="H53" s="13"/>
      <c r="I53" s="13" t="s">
        <v>297</v>
      </c>
      <c r="J53" s="13" t="s">
        <v>261</v>
      </c>
      <c r="K53" s="7" t="s">
        <v>217</v>
      </c>
      <c r="L53" s="7" t="s">
        <v>298</v>
      </c>
      <c r="M53" s="7" t="s">
        <v>237</v>
      </c>
      <c r="N53" s="13"/>
      <c r="O53" s="13"/>
      <c r="P53" s="13"/>
      <c r="Q53" s="13"/>
      <c r="R53" s="13"/>
      <c r="S53" s="13"/>
    </row>
    <row r="54" spans="1:19" ht="15.75" hidden="1" customHeight="1" x14ac:dyDescent="0.25">
      <c r="A54" s="7">
        <v>22</v>
      </c>
      <c r="B54" s="7">
        <v>8067</v>
      </c>
      <c r="C54" s="7">
        <v>4101</v>
      </c>
      <c r="D54" s="7">
        <v>56095</v>
      </c>
      <c r="E54" s="13"/>
      <c r="F54" s="7">
        <v>85</v>
      </c>
      <c r="G54" s="13" t="s">
        <v>234</v>
      </c>
      <c r="H54" s="13"/>
      <c r="I54" s="13" t="s">
        <v>297</v>
      </c>
      <c r="J54" s="13" t="s">
        <v>261</v>
      </c>
      <c r="K54" s="7" t="s">
        <v>217</v>
      </c>
      <c r="L54" s="7" t="s">
        <v>298</v>
      </c>
      <c r="M54" s="7" t="s">
        <v>237</v>
      </c>
      <c r="N54" s="13"/>
      <c r="O54" s="13"/>
      <c r="P54" s="13"/>
      <c r="Q54" s="13"/>
      <c r="R54" s="13"/>
      <c r="S54" s="13"/>
    </row>
    <row r="55" spans="1:19" ht="15.75" hidden="1" customHeight="1" x14ac:dyDescent="0.25">
      <c r="A55" s="7">
        <v>23</v>
      </c>
      <c r="B55" s="7">
        <v>8076</v>
      </c>
      <c r="C55" s="7">
        <v>4106</v>
      </c>
      <c r="D55" s="7">
        <v>56097</v>
      </c>
      <c r="E55" s="13"/>
      <c r="F55" s="7">
        <v>85</v>
      </c>
      <c r="G55" s="13" t="s">
        <v>234</v>
      </c>
      <c r="H55" s="13"/>
      <c r="I55" s="13" t="s">
        <v>297</v>
      </c>
      <c r="J55" s="13" t="s">
        <v>261</v>
      </c>
      <c r="K55" s="7" t="s">
        <v>217</v>
      </c>
      <c r="L55" s="7" t="s">
        <v>298</v>
      </c>
      <c r="M55" s="7" t="s">
        <v>237</v>
      </c>
      <c r="N55" s="13"/>
      <c r="O55" s="13"/>
      <c r="P55" s="13"/>
      <c r="Q55" s="13"/>
      <c r="R55" s="13"/>
      <c r="S55" s="13"/>
    </row>
    <row r="56" spans="1:19" ht="15.75" hidden="1" customHeight="1" x14ac:dyDescent="0.25">
      <c r="A56" s="7">
        <v>26</v>
      </c>
      <c r="B56" s="7">
        <v>4038</v>
      </c>
      <c r="C56" s="7">
        <v>4038</v>
      </c>
      <c r="D56" s="7">
        <v>56076</v>
      </c>
      <c r="E56" s="13"/>
      <c r="F56" s="7">
        <v>82</v>
      </c>
      <c r="G56" s="13" t="s">
        <v>234</v>
      </c>
      <c r="H56" s="13"/>
      <c r="I56" s="13" t="s">
        <v>299</v>
      </c>
      <c r="J56" s="13" t="s">
        <v>242</v>
      </c>
      <c r="K56" s="7" t="s">
        <v>217</v>
      </c>
      <c r="L56" s="7" t="s">
        <v>298</v>
      </c>
      <c r="M56" s="7" t="s">
        <v>237</v>
      </c>
      <c r="N56" s="13"/>
      <c r="O56" s="13"/>
      <c r="P56" s="13"/>
      <c r="Q56" s="13"/>
      <c r="R56" s="13"/>
      <c r="S56" s="13"/>
    </row>
    <row r="57" spans="1:19" ht="15.75" customHeight="1" x14ac:dyDescent="0.25">
      <c r="A57" s="15">
        <v>27</v>
      </c>
      <c r="B57" s="15">
        <v>4039</v>
      </c>
      <c r="C57" s="15">
        <v>4039</v>
      </c>
      <c r="D57" s="15">
        <v>56077</v>
      </c>
      <c r="E57" s="15">
        <v>4194</v>
      </c>
      <c r="F57" s="15">
        <v>82</v>
      </c>
      <c r="G57" s="16" t="s">
        <v>234</v>
      </c>
      <c r="H57" s="16"/>
      <c r="I57" s="16" t="s">
        <v>299</v>
      </c>
      <c r="J57" s="16" t="s">
        <v>242</v>
      </c>
      <c r="K57" s="15" t="s">
        <v>217</v>
      </c>
      <c r="L57" s="15" t="s">
        <v>298</v>
      </c>
      <c r="M57" s="15" t="s">
        <v>237</v>
      </c>
      <c r="N57" s="16"/>
      <c r="O57" s="16"/>
      <c r="P57" s="16"/>
      <c r="Q57" s="16"/>
      <c r="R57" s="15">
        <v>2009</v>
      </c>
      <c r="S57" s="16" t="s">
        <v>300</v>
      </c>
    </row>
    <row r="58" spans="1:19" ht="15.75" hidden="1" customHeight="1" x14ac:dyDescent="0.25">
      <c r="A58" s="7">
        <v>35</v>
      </c>
      <c r="B58" s="7">
        <v>8200</v>
      </c>
      <c r="C58" s="7">
        <v>169</v>
      </c>
      <c r="D58" s="13"/>
      <c r="E58" s="13"/>
      <c r="F58" s="7">
        <v>6</v>
      </c>
      <c r="G58" s="13" t="s">
        <v>214</v>
      </c>
      <c r="H58" s="13" t="s">
        <v>203</v>
      </c>
      <c r="I58" s="13" t="s">
        <v>301</v>
      </c>
      <c r="J58" s="13" t="s">
        <v>261</v>
      </c>
      <c r="K58" s="7" t="s">
        <v>217</v>
      </c>
      <c r="L58" s="7" t="s">
        <v>298</v>
      </c>
      <c r="M58" s="7" t="s">
        <v>237</v>
      </c>
      <c r="N58" s="13" t="s">
        <v>218</v>
      </c>
      <c r="O58" s="7">
        <v>10</v>
      </c>
      <c r="P58" s="13"/>
      <c r="Q58" s="13"/>
      <c r="R58" s="13"/>
      <c r="S58" s="13"/>
    </row>
    <row r="59" spans="1:19" ht="15.75" customHeight="1" x14ac:dyDescent="0.25">
      <c r="A59" s="7">
        <v>57</v>
      </c>
      <c r="B59" s="7">
        <v>8133</v>
      </c>
      <c r="C59" s="7">
        <v>209</v>
      </c>
      <c r="D59" s="13"/>
      <c r="E59" s="7">
        <v>1755</v>
      </c>
      <c r="F59" s="7">
        <v>8</v>
      </c>
      <c r="G59" s="13" t="s">
        <v>214</v>
      </c>
      <c r="H59" s="13" t="s">
        <v>203</v>
      </c>
      <c r="I59" s="13" t="s">
        <v>302</v>
      </c>
      <c r="J59" s="13" t="s">
        <v>216</v>
      </c>
      <c r="K59" s="7" t="s">
        <v>217</v>
      </c>
      <c r="L59" s="7" t="s">
        <v>298</v>
      </c>
      <c r="M59" s="7" t="s">
        <v>237</v>
      </c>
      <c r="N59" s="13" t="s">
        <v>218</v>
      </c>
      <c r="O59" s="13"/>
      <c r="P59" s="13"/>
      <c r="Q59" s="13"/>
      <c r="R59" s="7">
        <v>2005</v>
      </c>
      <c r="S59" s="13" t="s">
        <v>303</v>
      </c>
    </row>
    <row r="60" spans="1:19" ht="15.75" hidden="1" customHeight="1" x14ac:dyDescent="0.25">
      <c r="A60" s="7">
        <v>61</v>
      </c>
      <c r="B60" s="7">
        <v>8141</v>
      </c>
      <c r="C60" s="7">
        <v>210</v>
      </c>
      <c r="D60" s="13"/>
      <c r="E60" s="13"/>
      <c r="F60" s="7">
        <v>8</v>
      </c>
      <c r="G60" s="24" t="s">
        <v>214</v>
      </c>
      <c r="H60" s="25"/>
      <c r="I60" s="13" t="s">
        <v>304</v>
      </c>
      <c r="J60" s="13" t="s">
        <v>291</v>
      </c>
      <c r="K60" s="7" t="s">
        <v>217</v>
      </c>
      <c r="L60" s="7" t="s">
        <v>298</v>
      </c>
      <c r="M60" s="7" t="s">
        <v>237</v>
      </c>
      <c r="N60" s="13" t="s">
        <v>218</v>
      </c>
      <c r="O60" s="13"/>
      <c r="P60" s="13"/>
      <c r="Q60" s="13"/>
      <c r="R60" s="13"/>
      <c r="S60" s="13"/>
    </row>
    <row r="61" spans="1:19" ht="15.75" customHeight="1" x14ac:dyDescent="0.2"/>
    <row r="62" spans="1:19" ht="15.75" customHeight="1" x14ac:dyDescent="0.2"/>
    <row r="63" spans="1:19" ht="15.75" customHeight="1" x14ac:dyDescent="0.2"/>
    <row r="64" spans="1:1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S60">
    <filterColumn colId="4">
      <filters>
        <filter val="1689"/>
        <filter val="1703"/>
        <filter val="1706"/>
        <filter val="1711"/>
        <filter val="1715"/>
        <filter val="1738"/>
        <filter val="1746"/>
        <filter val="1749"/>
        <filter val="1755"/>
        <filter val="3150"/>
        <filter val="3151"/>
        <filter val="3153"/>
        <filter val="4194"/>
      </filters>
    </filterColumn>
  </autoFilter>
  <mergeCells count="40">
    <mergeCell ref="G52:H52"/>
    <mergeCell ref="G60:H60"/>
    <mergeCell ref="G30:H3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P44:S44"/>
    <mergeCell ref="P48:R48"/>
    <mergeCell ref="P49:Q49"/>
    <mergeCell ref="P50:Q50"/>
    <mergeCell ref="P9:R9"/>
    <mergeCell ref="P10:Q10"/>
    <mergeCell ref="P14:S14"/>
    <mergeCell ref="P15:S15"/>
    <mergeCell ref="P19:S19"/>
    <mergeCell ref="P23:R23"/>
    <mergeCell ref="P32:S32"/>
    <mergeCell ref="G10:H10"/>
    <mergeCell ref="G27:H27"/>
    <mergeCell ref="G28:H28"/>
    <mergeCell ref="G29:H29"/>
    <mergeCell ref="P33:S33"/>
    <mergeCell ref="G6:H6"/>
    <mergeCell ref="P7:R7"/>
    <mergeCell ref="G7:H7"/>
    <mergeCell ref="G8:H8"/>
    <mergeCell ref="G9:H9"/>
    <mergeCell ref="G2:H2"/>
    <mergeCell ref="O2:P2"/>
    <mergeCell ref="G3:H3"/>
    <mergeCell ref="G4:H4"/>
    <mergeCell ref="G5:H5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196f1-b314-4482-a04c-235b25854a0d" xsi:nil="true"/>
    <lcf76f155ced4ddcb4097134ff3c332f xmlns="ad035cd5-bf96-4d76-9017-fe4affe7c00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A87959B5BAF469572EFA52932F955" ma:contentTypeVersion="15" ma:contentTypeDescription="Create a new document." ma:contentTypeScope="" ma:versionID="fee103737e30961a43f3ee10e7131420">
  <xsd:schema xmlns:xsd="http://www.w3.org/2001/XMLSchema" xmlns:xs="http://www.w3.org/2001/XMLSchema" xmlns:p="http://schemas.microsoft.com/office/2006/metadata/properties" xmlns:ns2="ad035cd5-bf96-4d76-9017-fe4affe7c009" xmlns:ns3="ada196f1-b314-4482-a04c-235b25854a0d" targetNamespace="http://schemas.microsoft.com/office/2006/metadata/properties" ma:root="true" ma:fieldsID="ce953f44591304c8fdc797eb9944663e" ns2:_="" ns3:_="">
    <xsd:import namespace="ad035cd5-bf96-4d76-9017-fe4affe7c009"/>
    <xsd:import namespace="ada196f1-b314-4482-a04c-235b2585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35cd5-bf96-4d76-9017-fe4affe7c0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196f1-b314-4482-a04c-235b25854a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12f663-548a-4043-b1bb-6a031c6cf6b0}" ma:internalName="TaxCatchAll" ma:showField="CatchAllData" ma:web="ada196f1-b314-4482-a04c-235b2585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E2962-8215-480F-B58A-1690525584CB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da196f1-b314-4482-a04c-235b25854a0d"/>
    <ds:schemaRef ds:uri="ad035cd5-bf96-4d76-9017-fe4affe7c009"/>
  </ds:schemaRefs>
</ds:datastoreItem>
</file>

<file path=customXml/itemProps2.xml><?xml version="1.0" encoding="utf-8"?>
<ds:datastoreItem xmlns:ds="http://schemas.openxmlformats.org/officeDocument/2006/customXml" ds:itemID="{3AB78926-B2D6-4CBD-822B-3514A7A72D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35cd5-bf96-4d76-9017-fe4affe7c009"/>
    <ds:schemaRef ds:uri="ada196f1-b314-4482-a04c-235b25854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4C2B7-4BD7-4B07-93FB-838972F496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C13</vt:lpstr>
      <vt:lpstr>results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Van Nieuland</dc:creator>
  <cp:lastModifiedBy>selene.baez</cp:lastModifiedBy>
  <dcterms:created xsi:type="dcterms:W3CDTF">2025-05-07T13:06:25Z</dcterms:created>
  <dcterms:modified xsi:type="dcterms:W3CDTF">2025-10-15T15:46:26Z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0x0101001E6A87959B5BAF469572EFA52932F955</vt:lpwstr>
  </property>
  <property fmtid="{D5CDD505-2E9C-101B-9397-08002B2CF9AE}" pid="3" name="MediaServiceImageTags">
    <vt:lpwstr/>
  </property>
</Properties>
</file>